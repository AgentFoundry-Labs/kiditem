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\Desktop\"/>
    </mc:Choice>
  </mc:AlternateContent>
  <bookViews>
    <workbookView xWindow="0" yWindow="0" windowWidth="23040" windowHeight="9288" firstSheet="1" activeTab="3"/>
  </bookViews>
  <sheets>
    <sheet name="Dashboard" sheetId="1" state="hidden" r:id="rId1"/>
    <sheet name="상품리스트" sheetId="3" r:id="rId2"/>
    <sheet name="광고관리" sheetId="4" r:id="rId3"/>
    <sheet name="설정" sheetId="2" r:id="rId4"/>
  </sheets>
  <definedNames>
    <definedName name="_xlnm._FilterDatabase" localSheetId="1" hidden="1">상품리스트!$A$1:$W$143</definedName>
    <definedName name="A">#N/A</definedName>
    <definedName name="ad" localSheetId="2">MATCH(광고관리!DayToStart,광고관리!weekdays_reversed,0)-2</definedName>
    <definedName name="ad">MATCH(DayToStart,[0]!weekdays_reversed,0)-2</definedName>
    <definedName name="AGHAF" localSheetId="2">MATCH(광고관리!ASFG,광고관리!weekdays_reversed,0)-2</definedName>
    <definedName name="AGHAF">MATCH(ASFG,[0]!weekdays_reversed,0)-2</definedName>
    <definedName name="ASDFG" localSheetId="2">#REF!</definedName>
    <definedName name="ASDFG">#REF!</definedName>
    <definedName name="ASDFGH" localSheetId="2">MATCH(광고관리!DayToStart,광고관리!weekdays_reversed,0)-2</definedName>
    <definedName name="ASDFGH">MATCH(DayToStart,[0]!weekdays_reversed,0)-2</definedName>
    <definedName name="ASFG" localSheetId="2">#REF!</definedName>
    <definedName name="ASFG">#REF!</definedName>
    <definedName name="d" localSheetId="2">MATCH(광고관리!sg,광고관리!weekdays_reversed,0)-2</definedName>
    <definedName name="d">MATCH(sg,[0]!weekdays_reversed,0)-2</definedName>
    <definedName name="DayToStart" localSheetId="2">#REF!</definedName>
    <definedName name="DayToStart">#REF!</definedName>
    <definedName name="fds" localSheetId="2">MATCH(광고관리!DayToStart,광고관리!weekdays_reversed,0)-2</definedName>
    <definedName name="fds">MATCH(DayToStart,[0]!weekdays_reversed,0)-2</definedName>
    <definedName name="gdfadf" localSheetId="2">#REF!</definedName>
    <definedName name="gdfadf">#REF!</definedName>
    <definedName name="HFF" localSheetId="2">MATCH(광고관리!DayToStart,광고관리!weekdays_reversed,0)-2</definedName>
    <definedName name="HFF">MATCH(DayToStart,[0]!weekdays_reversed,0)-2</definedName>
    <definedName name="hqsdf" localSheetId="2">MATCH(광고관리!sg,광고관리!weekdays_reversed,0)-2</definedName>
    <definedName name="hqsdf">MATCH(sg,[0]!weekdays_reversed,0)-2</definedName>
    <definedName name="MonthToDisplay" localSheetId="2">#REF!</definedName>
    <definedName name="MonthToDisplay">#REF!</definedName>
    <definedName name="MonthToDisplayNumber">#N/A</definedName>
    <definedName name="S" localSheetId="2">MATCH(광고관리!DayToStart,광고관리!weekdays_reversed,0)-2</definedName>
    <definedName name="S">MATCH(DayToStart,[0]!weekdays_reversed,0)-2</definedName>
    <definedName name="sg" localSheetId="2">#REF!</definedName>
    <definedName name="sg">#REF!</definedName>
    <definedName name="weekdays_reversed" localSheetId="2">{"일요일","토요일","금요일","목요일","수요일","화요일","월요일"}</definedName>
    <definedName name="weekdays_reversed">{"일요일","토요일","금요일","목요일","수요일","화요일","월요일"}</definedName>
    <definedName name="날짜눈금" localSheetId="2">광고관리!요일+광고관리!주*7</definedName>
    <definedName name="날짜눈금">요일+주*7</definedName>
    <definedName name="날짜패턴" localSheetId="2">{1,1,2,2,3,3,4,4,5,5,6,6,7}</definedName>
    <definedName name="날짜패턴">{1,1,2,2,3,3,4,4,5,5,6,6,7}</definedName>
    <definedName name="달력">#N/A</definedName>
    <definedName name="ㅁ" localSheetId="2">MATCH(광고관리!DayToStart,광고관리!weekdays_reversed,0)-2</definedName>
    <definedName name="ㅁ">MATCH(DayToStart,[0]!weekdays_reversed,0)-2</definedName>
    <definedName name="ㅁㄴㅇ" localSheetId="2">MATCH(광고관리!DayToStart,광고관리!weekdays_reversed,0)-2</definedName>
    <definedName name="ㅁㄴㅇ">MATCH(DayToStart,[0]!weekdays_reversed,0)-2</definedName>
    <definedName name="ㅁㄴ호ㅗ" localSheetId="2">MATCH(광고관리!ㅇㄴㅁㄹ,광고관리!weekdays_reversed,0)-2</definedName>
    <definedName name="ㅁㄴ호ㅗ">MATCH(ㅇㄴㅁㄹ,[0]!weekdays_reversed,0)-2</definedName>
    <definedName name="ㅁㄶ" localSheetId="2">MATCH(광고관리!ㅇㄴㅁㄹ,광고관리!weekdays_reversed,0)-2</definedName>
    <definedName name="ㅁㄶ">MATCH(ㅇㄴㅁㄹ,[0]!weekdays_reversed,0)-2</definedName>
    <definedName name="ㅁㅇㄴㅀ" localSheetId="2">MATCH(광고관리!ㅗㅛㅓㅏㅑㅑ,광고관리!weekdays_reversed,0)-2</definedName>
    <definedName name="ㅁㅇㄴㅀ">MATCH(ㅗㅛㅓㅏㅑㅑ,[0]!weekdays_reversed,0)-2</definedName>
    <definedName name="ㅁㅎ" localSheetId="2">MATCH(광고관리!ㅇㄴㅁㄹ,광고관리!weekdays_reversed,0)-2</definedName>
    <definedName name="ㅁㅎ">MATCH(ㅇㄴㅁㄹ,[0]!weekdays_reversed,0)-2</definedName>
    <definedName name="ㅁㅎㅁㄹ" localSheetId="2">MATCH(광고관리!DayToStart,광고관리!weekdays_reversed,0)-2</definedName>
    <definedName name="ㅁㅎㅁㄹ">MATCH(DayToStart,[0]!weekdays_reversed,0)-2</definedName>
    <definedName name="ㅇ2ㅇㄹ" localSheetId="2">MATCH(광고관리!DayToStart,광고관리!weekdays_reversed,0)-2</definedName>
    <definedName name="ㅇ2ㅇㄹ">MATCH(DayToStart,[0]!weekdays_reversed,0)-2</definedName>
    <definedName name="ㅇㄴㅁㄹ" localSheetId="2">#REF!</definedName>
    <definedName name="ㅇㄴㅁㄹ">#REF!</definedName>
    <definedName name="요일" localSheetId="2">{0,1,2,3,4,5,6}</definedName>
    <definedName name="요일">{0,1,2,3,4,5,6}</definedName>
    <definedName name="요일_옵션" localSheetId="2">MATCH(광고관리!DayToStart,광고관리!weekdays_reversed,0)-2</definedName>
    <definedName name="요일_옵션">MATCH(DayToStart,weekdays_reversed,0)-2</definedName>
    <definedName name="월" localSheetId="2">{"1월","2월","3월","4월","5월","6월","7월","8월","9월","10월","11월","12월"}</definedName>
    <definedName name="월">{"1월","2월","3월","4월","5월","6월","7월","8월","9월","10월","11월","12월"}</definedName>
    <definedName name="ㅈㅅㅅ3ㄺ">#REF!</definedName>
    <definedName name="제목1">#REF!</definedName>
    <definedName name="주" localSheetId="2">{0;1;2;3;4;5;6}</definedName>
    <definedName name="주">{0;1;2;3;4;5;6}</definedName>
    <definedName name="쿠팡크리스마스" localSheetId="2">MATCH(광고관리!DayToStart,광고관리!weekdays_reversed,0)-2</definedName>
    <definedName name="쿠팡크리스마스">MATCH(DayToStart,[0]!weekdays_reversed,0)-2</definedName>
    <definedName name="크리스마스" localSheetId="2">MATCH(광고관리!sg,광고관리!weekdays_reversed,0)-2</definedName>
    <definedName name="크리스마스">MATCH(sg,[0]!weekdays_reversed,0)-2</definedName>
    <definedName name="평일" localSheetId="2">{"월요일","화요일","수요일","목요일","금요일","토요일","일요일"}</definedName>
    <definedName name="평일">{"월요일","화요일","수요일","목요일","금요일","토요일","일요일"}</definedName>
    <definedName name="ㅎㄴ" localSheetId="2">MATCH(광고관리!DayToStart,광고관리!weekdays_reversed,0)-2</definedName>
    <definedName name="ㅎㄴ">MATCH(DayToStart,[0]!weekdays_reversed,0)-2</definedName>
    <definedName name="ㅎㅅㅎㄱ" localSheetId="2">MATCH(광고관리!sg,광고관리!weekdays_reversed,0)-2</definedName>
    <definedName name="ㅎㅅㅎㄱ">MATCH(sg,[0]!weekdays_reversed,0)-2</definedName>
    <definedName name="ㅗ" localSheetId="2">MATCH(광고관리!DayToStart,광고관리!weekdays_reversed,0)-2</definedName>
    <definedName name="ㅗ">MATCH(DayToStart,[0]!weekdays_reversed,0)-2</definedName>
    <definedName name="ㅗㅛㅓㅏㅑㅑ" localSheetId="2">#REF!</definedName>
    <definedName name="ㅗㅛㅓㅏㅑㅑ">#REF!</definedName>
    <definedName name="ㅛ려료ㅕㅑ" localSheetId="2">MATCH(광고관리!DayToStart,광고관리!weekdays_reversed,0)-2</definedName>
    <definedName name="ㅛ려료ㅕㅑ">MATCH(DayToStart,[0]!weekdays_reversed,0)-2</definedName>
  </definedNames>
  <calcPr calcId="152511"/>
</workbook>
</file>

<file path=xl/calcChain.xml><?xml version="1.0" encoding="utf-8"?>
<calcChain xmlns="http://schemas.openxmlformats.org/spreadsheetml/2006/main">
  <c r="J25" i="4" l="1"/>
  <c r="I25" i="4"/>
  <c r="H25" i="4"/>
  <c r="G25" i="4"/>
  <c r="F25" i="4"/>
  <c r="E25" i="4"/>
  <c r="D25" i="4"/>
  <c r="C25" i="4"/>
  <c r="B25" i="4"/>
  <c r="O24" i="4"/>
  <c r="N24" i="4"/>
  <c r="M24" i="4"/>
  <c r="L24" i="4"/>
  <c r="K24" i="4"/>
  <c r="O23" i="4"/>
  <c r="N23" i="4"/>
  <c r="M23" i="4"/>
  <c r="L23" i="4"/>
  <c r="K23" i="4"/>
  <c r="O22" i="4"/>
  <c r="N22" i="4"/>
  <c r="M22" i="4"/>
  <c r="L22" i="4"/>
  <c r="K22" i="4"/>
  <c r="O21" i="4"/>
  <c r="N21" i="4"/>
  <c r="M21" i="4"/>
  <c r="L21" i="4"/>
  <c r="K21" i="4"/>
  <c r="O20" i="4"/>
  <c r="N20" i="4"/>
  <c r="M20" i="4"/>
  <c r="L20" i="4"/>
  <c r="K20" i="4"/>
  <c r="O19" i="4"/>
  <c r="N19" i="4"/>
  <c r="M19" i="4"/>
  <c r="L19" i="4"/>
  <c r="K19" i="4"/>
  <c r="O18" i="4"/>
  <c r="N18" i="4"/>
  <c r="M18" i="4"/>
  <c r="L18" i="4"/>
  <c r="K18" i="4"/>
  <c r="O17" i="4"/>
  <c r="N17" i="4"/>
  <c r="M17" i="4"/>
  <c r="L17" i="4"/>
  <c r="K17" i="4"/>
  <c r="O16" i="4"/>
  <c r="N16" i="4"/>
  <c r="M16" i="4"/>
  <c r="L16" i="4"/>
  <c r="K16" i="4"/>
  <c r="O15" i="4"/>
  <c r="N15" i="4"/>
  <c r="M15" i="4"/>
  <c r="L15" i="4"/>
  <c r="K15" i="4"/>
  <c r="O14" i="4"/>
  <c r="N14" i="4"/>
  <c r="M14" i="4"/>
  <c r="L14" i="4"/>
  <c r="K14" i="4"/>
  <c r="O13" i="4"/>
  <c r="N13" i="4"/>
  <c r="M13" i="4"/>
  <c r="L13" i="4"/>
  <c r="K13" i="4"/>
  <c r="D2" i="4"/>
  <c r="D3" i="4" s="1"/>
  <c r="D4" i="4" s="1"/>
  <c r="N25" i="4" l="1"/>
  <c r="O25" i="4"/>
  <c r="M25" i="4"/>
  <c r="K25" i="4"/>
  <c r="L25" i="4"/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108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109" i="3"/>
  <c r="O55" i="3"/>
  <c r="O56" i="3"/>
  <c r="O57" i="3"/>
  <c r="O123" i="3"/>
  <c r="O58" i="3"/>
  <c r="O59" i="3"/>
  <c r="O124" i="3"/>
  <c r="O125" i="3"/>
  <c r="O60" i="3"/>
  <c r="O110" i="3"/>
  <c r="O61" i="3"/>
  <c r="O111" i="3"/>
  <c r="O112" i="3"/>
  <c r="O62" i="3"/>
  <c r="O113" i="3"/>
  <c r="O63" i="3"/>
  <c r="O126" i="3"/>
  <c r="O114" i="3"/>
  <c r="O115" i="3"/>
  <c r="O64" i="3"/>
  <c r="O65" i="3"/>
  <c r="O66" i="3"/>
  <c r="O116" i="3"/>
  <c r="O67" i="3"/>
  <c r="O68" i="3"/>
  <c r="O127" i="3"/>
  <c r="O69" i="3"/>
  <c r="O70" i="3"/>
  <c r="O71" i="3"/>
  <c r="O72" i="3"/>
  <c r="O73" i="3"/>
  <c r="O74" i="3"/>
  <c r="O75" i="3"/>
  <c r="O128" i="3"/>
  <c r="O76" i="3"/>
  <c r="O129" i="3"/>
  <c r="O77" i="3"/>
  <c r="O117" i="3"/>
  <c r="O78" i="3"/>
  <c r="O130" i="3"/>
  <c r="O118" i="3"/>
  <c r="O79" i="3"/>
  <c r="O131" i="3"/>
  <c r="O119" i="3"/>
  <c r="O132" i="3"/>
  <c r="O133" i="3"/>
  <c r="O134" i="3"/>
  <c r="O135" i="3"/>
  <c r="O80" i="3"/>
  <c r="O81" i="3"/>
  <c r="O82" i="3"/>
  <c r="O83" i="3"/>
  <c r="O136" i="3"/>
  <c r="O84" i="3"/>
  <c r="O85" i="3"/>
  <c r="O86" i="3"/>
  <c r="O120" i="3"/>
  <c r="O87" i="3"/>
  <c r="O137" i="3"/>
  <c r="O138" i="3"/>
  <c r="O88" i="3"/>
  <c r="O89" i="3"/>
  <c r="O90" i="3"/>
  <c r="O91" i="3"/>
  <c r="O92" i="3"/>
  <c r="O93" i="3"/>
  <c r="O94" i="3"/>
  <c r="O95" i="3"/>
  <c r="O139" i="3"/>
  <c r="O96" i="3"/>
  <c r="O97" i="3"/>
  <c r="O98" i="3"/>
  <c r="O140" i="3"/>
  <c r="O99" i="3"/>
  <c r="O141" i="3"/>
  <c r="O142" i="3"/>
  <c r="O100" i="3"/>
  <c r="O121" i="3"/>
  <c r="O122" i="3"/>
  <c r="O101" i="3"/>
  <c r="O102" i="3"/>
  <c r="O103" i="3"/>
  <c r="O143" i="3"/>
  <c r="O104" i="3"/>
  <c r="O105" i="3"/>
  <c r="O106" i="3"/>
  <c r="O107" i="3"/>
  <c r="O2" i="3"/>
  <c r="P107" i="3" l="1"/>
  <c r="K107" i="3"/>
  <c r="F107" i="3"/>
  <c r="G107" i="3" s="1"/>
  <c r="H107" i="3" s="1"/>
  <c r="P106" i="3"/>
  <c r="K106" i="3"/>
  <c r="F106" i="3"/>
  <c r="G106" i="3" s="1"/>
  <c r="H106" i="3" s="1"/>
  <c r="P105" i="3"/>
  <c r="K105" i="3"/>
  <c r="F105" i="3"/>
  <c r="G105" i="3" s="1"/>
  <c r="H105" i="3" s="1"/>
  <c r="P104" i="3"/>
  <c r="K104" i="3"/>
  <c r="F104" i="3"/>
  <c r="G104" i="3" s="1"/>
  <c r="H104" i="3" s="1"/>
  <c r="P143" i="3"/>
  <c r="K143" i="3"/>
  <c r="F143" i="3"/>
  <c r="G143" i="3" s="1"/>
  <c r="H143" i="3" s="1"/>
  <c r="P103" i="3"/>
  <c r="K103" i="3"/>
  <c r="F103" i="3"/>
  <c r="G103" i="3" s="1"/>
  <c r="H103" i="3" s="1"/>
  <c r="P102" i="3"/>
  <c r="K102" i="3"/>
  <c r="F102" i="3"/>
  <c r="G102" i="3" s="1"/>
  <c r="H102" i="3" s="1"/>
  <c r="P101" i="3"/>
  <c r="K101" i="3"/>
  <c r="F101" i="3"/>
  <c r="G101" i="3" s="1"/>
  <c r="H101" i="3" s="1"/>
  <c r="P122" i="3"/>
  <c r="K122" i="3"/>
  <c r="F122" i="3"/>
  <c r="G122" i="3" s="1"/>
  <c r="H122" i="3" s="1"/>
  <c r="K121" i="3"/>
  <c r="F121" i="3"/>
  <c r="G121" i="3" s="1"/>
  <c r="H121" i="3" s="1"/>
  <c r="P100" i="3"/>
  <c r="K100" i="3"/>
  <c r="F100" i="3"/>
  <c r="G100" i="3" s="1"/>
  <c r="H100" i="3" s="1"/>
  <c r="K142" i="3"/>
  <c r="F142" i="3"/>
  <c r="G142" i="3" s="1"/>
  <c r="H142" i="3" s="1"/>
  <c r="P141" i="3"/>
  <c r="K141" i="3"/>
  <c r="F141" i="3"/>
  <c r="G141" i="3" s="1"/>
  <c r="H141" i="3" s="1"/>
  <c r="K99" i="3"/>
  <c r="F99" i="3"/>
  <c r="G99" i="3" s="1"/>
  <c r="H99" i="3" s="1"/>
  <c r="P140" i="3"/>
  <c r="K140" i="3"/>
  <c r="F140" i="3"/>
  <c r="G140" i="3" s="1"/>
  <c r="H140" i="3" s="1"/>
  <c r="K98" i="3"/>
  <c r="F98" i="3"/>
  <c r="G98" i="3" s="1"/>
  <c r="H98" i="3" s="1"/>
  <c r="P97" i="3"/>
  <c r="K97" i="3"/>
  <c r="F97" i="3"/>
  <c r="G97" i="3" s="1"/>
  <c r="H97" i="3" s="1"/>
  <c r="K96" i="3"/>
  <c r="F96" i="3"/>
  <c r="G96" i="3" s="1"/>
  <c r="H96" i="3" s="1"/>
  <c r="P139" i="3"/>
  <c r="K139" i="3"/>
  <c r="F139" i="3"/>
  <c r="G139" i="3" s="1"/>
  <c r="H139" i="3" s="1"/>
  <c r="P95" i="3"/>
  <c r="K95" i="3"/>
  <c r="F95" i="3"/>
  <c r="G95" i="3" s="1"/>
  <c r="H95" i="3" s="1"/>
  <c r="P94" i="3"/>
  <c r="K94" i="3"/>
  <c r="F94" i="3"/>
  <c r="G94" i="3" s="1"/>
  <c r="H94" i="3" s="1"/>
  <c r="P93" i="3"/>
  <c r="K93" i="3"/>
  <c r="F93" i="3"/>
  <c r="G93" i="3" s="1"/>
  <c r="H93" i="3" s="1"/>
  <c r="P92" i="3"/>
  <c r="K92" i="3"/>
  <c r="F92" i="3"/>
  <c r="G92" i="3" s="1"/>
  <c r="H92" i="3" s="1"/>
  <c r="P91" i="3"/>
  <c r="K91" i="3"/>
  <c r="F91" i="3"/>
  <c r="G91" i="3" s="1"/>
  <c r="H91" i="3" s="1"/>
  <c r="P90" i="3"/>
  <c r="K90" i="3"/>
  <c r="F90" i="3"/>
  <c r="G90" i="3" s="1"/>
  <c r="H90" i="3" s="1"/>
  <c r="P89" i="3"/>
  <c r="K89" i="3"/>
  <c r="F89" i="3"/>
  <c r="G89" i="3" s="1"/>
  <c r="H89" i="3" s="1"/>
  <c r="P88" i="3"/>
  <c r="K88" i="3"/>
  <c r="F88" i="3"/>
  <c r="G88" i="3" s="1"/>
  <c r="H88" i="3" s="1"/>
  <c r="K138" i="3"/>
  <c r="F138" i="3"/>
  <c r="G138" i="3" s="1"/>
  <c r="H138" i="3" s="1"/>
  <c r="P137" i="3"/>
  <c r="K137" i="3"/>
  <c r="F137" i="3"/>
  <c r="G137" i="3" s="1"/>
  <c r="H137" i="3" s="1"/>
  <c r="P87" i="3"/>
  <c r="K87" i="3"/>
  <c r="F87" i="3"/>
  <c r="G87" i="3" s="1"/>
  <c r="H87" i="3" s="1"/>
  <c r="P120" i="3"/>
  <c r="K120" i="3"/>
  <c r="F120" i="3"/>
  <c r="G120" i="3" s="1"/>
  <c r="H120" i="3" s="1"/>
  <c r="K86" i="3"/>
  <c r="F86" i="3"/>
  <c r="G86" i="3" s="1"/>
  <c r="H86" i="3" s="1"/>
  <c r="S85" i="3"/>
  <c r="K85" i="3"/>
  <c r="F85" i="3"/>
  <c r="G85" i="3" s="1"/>
  <c r="H85" i="3" s="1"/>
  <c r="P84" i="3"/>
  <c r="K84" i="3"/>
  <c r="F84" i="3"/>
  <c r="G84" i="3" s="1"/>
  <c r="H84" i="3" s="1"/>
  <c r="S136" i="3"/>
  <c r="K136" i="3"/>
  <c r="F136" i="3"/>
  <c r="G136" i="3" s="1"/>
  <c r="H136" i="3" s="1"/>
  <c r="P83" i="3"/>
  <c r="K83" i="3"/>
  <c r="F83" i="3"/>
  <c r="G83" i="3" s="1"/>
  <c r="H83" i="3" s="1"/>
  <c r="P82" i="3"/>
  <c r="K82" i="3"/>
  <c r="F82" i="3"/>
  <c r="G82" i="3" s="1"/>
  <c r="H82" i="3" s="1"/>
  <c r="P81" i="3"/>
  <c r="K81" i="3"/>
  <c r="F81" i="3"/>
  <c r="G81" i="3" s="1"/>
  <c r="H81" i="3" s="1"/>
  <c r="P80" i="3"/>
  <c r="K80" i="3"/>
  <c r="F80" i="3"/>
  <c r="G80" i="3" s="1"/>
  <c r="H80" i="3" s="1"/>
  <c r="P135" i="3"/>
  <c r="K135" i="3"/>
  <c r="F135" i="3"/>
  <c r="G135" i="3" s="1"/>
  <c r="H135" i="3" s="1"/>
  <c r="S134" i="3"/>
  <c r="K134" i="3"/>
  <c r="F134" i="3"/>
  <c r="G134" i="3" s="1"/>
  <c r="H134" i="3" s="1"/>
  <c r="P133" i="3"/>
  <c r="K133" i="3"/>
  <c r="F133" i="3"/>
  <c r="G133" i="3" s="1"/>
  <c r="H133" i="3" s="1"/>
  <c r="P132" i="3"/>
  <c r="K132" i="3"/>
  <c r="F132" i="3"/>
  <c r="G132" i="3" s="1"/>
  <c r="H132" i="3" s="1"/>
  <c r="P119" i="3"/>
  <c r="K119" i="3"/>
  <c r="F119" i="3"/>
  <c r="G119" i="3" s="1"/>
  <c r="H119" i="3" s="1"/>
  <c r="P131" i="3"/>
  <c r="K131" i="3"/>
  <c r="F131" i="3"/>
  <c r="G131" i="3" s="1"/>
  <c r="H131" i="3" s="1"/>
  <c r="P79" i="3"/>
  <c r="K79" i="3"/>
  <c r="F79" i="3"/>
  <c r="G79" i="3" s="1"/>
  <c r="H79" i="3" s="1"/>
  <c r="P118" i="3"/>
  <c r="K118" i="3"/>
  <c r="F118" i="3"/>
  <c r="G118" i="3" s="1"/>
  <c r="H118" i="3" s="1"/>
  <c r="S130" i="3"/>
  <c r="K130" i="3"/>
  <c r="F130" i="3"/>
  <c r="G130" i="3" s="1"/>
  <c r="H130" i="3" s="1"/>
  <c r="P78" i="3"/>
  <c r="K78" i="3"/>
  <c r="F78" i="3"/>
  <c r="G78" i="3" s="1"/>
  <c r="H78" i="3" s="1"/>
  <c r="P117" i="3"/>
  <c r="K117" i="3"/>
  <c r="F117" i="3"/>
  <c r="G117" i="3" s="1"/>
  <c r="H117" i="3" s="1"/>
  <c r="P77" i="3"/>
  <c r="K77" i="3"/>
  <c r="F77" i="3"/>
  <c r="G77" i="3" s="1"/>
  <c r="H77" i="3" s="1"/>
  <c r="P129" i="3"/>
  <c r="K129" i="3"/>
  <c r="F129" i="3"/>
  <c r="G129" i="3" s="1"/>
  <c r="H129" i="3" s="1"/>
  <c r="P76" i="3"/>
  <c r="K76" i="3"/>
  <c r="F76" i="3"/>
  <c r="G76" i="3" s="1"/>
  <c r="H76" i="3" s="1"/>
  <c r="S128" i="3"/>
  <c r="K128" i="3"/>
  <c r="F128" i="3"/>
  <c r="G128" i="3" s="1"/>
  <c r="H128" i="3" s="1"/>
  <c r="P75" i="3"/>
  <c r="K75" i="3"/>
  <c r="F75" i="3"/>
  <c r="G75" i="3" s="1"/>
  <c r="H75" i="3" s="1"/>
  <c r="S74" i="3"/>
  <c r="K74" i="3"/>
  <c r="F74" i="3"/>
  <c r="G74" i="3" s="1"/>
  <c r="H74" i="3" s="1"/>
  <c r="P73" i="3"/>
  <c r="K73" i="3"/>
  <c r="F73" i="3"/>
  <c r="G73" i="3" s="1"/>
  <c r="H73" i="3" s="1"/>
  <c r="K72" i="3"/>
  <c r="S72" i="3" s="1"/>
  <c r="F72" i="3"/>
  <c r="G72" i="3" s="1"/>
  <c r="H72" i="3" s="1"/>
  <c r="P71" i="3"/>
  <c r="K71" i="3"/>
  <c r="F71" i="3"/>
  <c r="G71" i="3" s="1"/>
  <c r="H71" i="3" s="1"/>
  <c r="P70" i="3"/>
  <c r="K70" i="3"/>
  <c r="F70" i="3"/>
  <c r="G70" i="3" s="1"/>
  <c r="H70" i="3" s="1"/>
  <c r="P69" i="3"/>
  <c r="K69" i="3"/>
  <c r="F69" i="3"/>
  <c r="G69" i="3" s="1"/>
  <c r="H69" i="3" s="1"/>
  <c r="P127" i="3"/>
  <c r="K127" i="3"/>
  <c r="F127" i="3"/>
  <c r="G127" i="3" s="1"/>
  <c r="H127" i="3" s="1"/>
  <c r="P68" i="3"/>
  <c r="K68" i="3"/>
  <c r="F68" i="3"/>
  <c r="G68" i="3" s="1"/>
  <c r="H68" i="3" s="1"/>
  <c r="P67" i="3"/>
  <c r="K67" i="3"/>
  <c r="F67" i="3"/>
  <c r="G67" i="3" s="1"/>
  <c r="H67" i="3" s="1"/>
  <c r="P116" i="3"/>
  <c r="K116" i="3"/>
  <c r="F116" i="3"/>
  <c r="G116" i="3" s="1"/>
  <c r="H116" i="3" s="1"/>
  <c r="P66" i="3"/>
  <c r="K66" i="3"/>
  <c r="F66" i="3"/>
  <c r="G66" i="3" s="1"/>
  <c r="H66" i="3" s="1"/>
  <c r="P65" i="3"/>
  <c r="K65" i="3"/>
  <c r="F65" i="3"/>
  <c r="G65" i="3" s="1"/>
  <c r="H65" i="3" s="1"/>
  <c r="P64" i="3"/>
  <c r="K64" i="3"/>
  <c r="F64" i="3"/>
  <c r="G64" i="3" s="1"/>
  <c r="H64" i="3" s="1"/>
  <c r="S115" i="3"/>
  <c r="K115" i="3"/>
  <c r="F115" i="3"/>
  <c r="G115" i="3" s="1"/>
  <c r="H115" i="3" s="1"/>
  <c r="P114" i="3"/>
  <c r="K114" i="3"/>
  <c r="F114" i="3"/>
  <c r="G114" i="3" s="1"/>
  <c r="H114" i="3" s="1"/>
  <c r="K126" i="3"/>
  <c r="F126" i="3"/>
  <c r="G126" i="3" s="1"/>
  <c r="H126" i="3" s="1"/>
  <c r="P63" i="3"/>
  <c r="K63" i="3"/>
  <c r="F63" i="3"/>
  <c r="G63" i="3" s="1"/>
  <c r="H63" i="3" s="1"/>
  <c r="P113" i="3"/>
  <c r="K113" i="3"/>
  <c r="F113" i="3"/>
  <c r="G113" i="3" s="1"/>
  <c r="H113" i="3" s="1"/>
  <c r="P62" i="3"/>
  <c r="K62" i="3"/>
  <c r="F62" i="3"/>
  <c r="G62" i="3" s="1"/>
  <c r="H62" i="3" s="1"/>
  <c r="P112" i="3"/>
  <c r="K112" i="3"/>
  <c r="F112" i="3"/>
  <c r="G112" i="3" s="1"/>
  <c r="H112" i="3" s="1"/>
  <c r="P111" i="3"/>
  <c r="K111" i="3"/>
  <c r="F111" i="3"/>
  <c r="G111" i="3" s="1"/>
  <c r="H111" i="3" s="1"/>
  <c r="P61" i="3"/>
  <c r="K61" i="3"/>
  <c r="F61" i="3"/>
  <c r="G61" i="3" s="1"/>
  <c r="H61" i="3" s="1"/>
  <c r="P110" i="3"/>
  <c r="K110" i="3"/>
  <c r="F110" i="3"/>
  <c r="G110" i="3" s="1"/>
  <c r="H110" i="3" s="1"/>
  <c r="P60" i="3"/>
  <c r="K60" i="3"/>
  <c r="F60" i="3"/>
  <c r="G60" i="3" s="1"/>
  <c r="H60" i="3" s="1"/>
  <c r="S125" i="3"/>
  <c r="K125" i="3"/>
  <c r="F125" i="3"/>
  <c r="G125" i="3" s="1"/>
  <c r="H125" i="3" s="1"/>
  <c r="K124" i="3"/>
  <c r="S124" i="3" s="1"/>
  <c r="F124" i="3"/>
  <c r="G124" i="3" s="1"/>
  <c r="H124" i="3" s="1"/>
  <c r="P59" i="3"/>
  <c r="K59" i="3"/>
  <c r="F59" i="3"/>
  <c r="G59" i="3" s="1"/>
  <c r="H59" i="3" s="1"/>
  <c r="K58" i="3"/>
  <c r="S58" i="3" s="1"/>
  <c r="F58" i="3"/>
  <c r="G58" i="3" s="1"/>
  <c r="H58" i="3" s="1"/>
  <c r="K123" i="3"/>
  <c r="S123" i="3" s="1"/>
  <c r="F123" i="3"/>
  <c r="G123" i="3" s="1"/>
  <c r="H123" i="3" s="1"/>
  <c r="P57" i="3"/>
  <c r="K57" i="3"/>
  <c r="F57" i="3"/>
  <c r="G57" i="3" s="1"/>
  <c r="H57" i="3" s="1"/>
  <c r="P56" i="3"/>
  <c r="K56" i="3"/>
  <c r="F56" i="3"/>
  <c r="G56" i="3" s="1"/>
  <c r="H56" i="3" s="1"/>
  <c r="P55" i="3"/>
  <c r="K55" i="3"/>
  <c r="F55" i="3"/>
  <c r="G55" i="3" s="1"/>
  <c r="H55" i="3" s="1"/>
  <c r="P109" i="3"/>
  <c r="K109" i="3"/>
  <c r="F109" i="3"/>
  <c r="G109" i="3" s="1"/>
  <c r="H109" i="3" s="1"/>
  <c r="P54" i="3"/>
  <c r="K54" i="3"/>
  <c r="F54" i="3"/>
  <c r="G54" i="3" s="1"/>
  <c r="H54" i="3" s="1"/>
  <c r="P53" i="3"/>
  <c r="K53" i="3"/>
  <c r="F53" i="3"/>
  <c r="G53" i="3" s="1"/>
  <c r="H53" i="3" s="1"/>
  <c r="P52" i="3"/>
  <c r="K52" i="3"/>
  <c r="F52" i="3"/>
  <c r="G52" i="3" s="1"/>
  <c r="H52" i="3" s="1"/>
  <c r="P51" i="3"/>
  <c r="K51" i="3"/>
  <c r="F51" i="3"/>
  <c r="G51" i="3" s="1"/>
  <c r="H51" i="3" s="1"/>
  <c r="P50" i="3"/>
  <c r="K50" i="3"/>
  <c r="F50" i="3"/>
  <c r="G50" i="3" s="1"/>
  <c r="H50" i="3" s="1"/>
  <c r="S49" i="3"/>
  <c r="K49" i="3"/>
  <c r="F49" i="3"/>
  <c r="G49" i="3" s="1"/>
  <c r="H49" i="3" s="1"/>
  <c r="P48" i="3"/>
  <c r="K48" i="3"/>
  <c r="F48" i="3"/>
  <c r="G48" i="3" s="1"/>
  <c r="H48" i="3" s="1"/>
  <c r="P47" i="3"/>
  <c r="K47" i="3"/>
  <c r="F47" i="3"/>
  <c r="G47" i="3" s="1"/>
  <c r="H47" i="3" s="1"/>
  <c r="P46" i="3"/>
  <c r="K46" i="3"/>
  <c r="F46" i="3"/>
  <c r="G46" i="3" s="1"/>
  <c r="H46" i="3" s="1"/>
  <c r="P45" i="3"/>
  <c r="K45" i="3"/>
  <c r="F45" i="3"/>
  <c r="G45" i="3" s="1"/>
  <c r="H45" i="3" s="1"/>
  <c r="P44" i="3"/>
  <c r="K44" i="3"/>
  <c r="F44" i="3"/>
  <c r="G44" i="3" s="1"/>
  <c r="H44" i="3" s="1"/>
  <c r="S43" i="3"/>
  <c r="K43" i="3"/>
  <c r="F43" i="3"/>
  <c r="G43" i="3" s="1"/>
  <c r="H43" i="3" s="1"/>
  <c r="P42" i="3"/>
  <c r="K42" i="3"/>
  <c r="F42" i="3"/>
  <c r="G42" i="3" s="1"/>
  <c r="H42" i="3" s="1"/>
  <c r="K41" i="3"/>
  <c r="S41" i="3" s="1"/>
  <c r="F41" i="3"/>
  <c r="G41" i="3" s="1"/>
  <c r="H41" i="3" s="1"/>
  <c r="S40" i="3"/>
  <c r="K40" i="3"/>
  <c r="F40" i="3"/>
  <c r="G40" i="3" s="1"/>
  <c r="H40" i="3" s="1"/>
  <c r="P39" i="3"/>
  <c r="K39" i="3"/>
  <c r="F39" i="3"/>
  <c r="G39" i="3" s="1"/>
  <c r="H39" i="3" s="1"/>
  <c r="P38" i="3"/>
  <c r="K38" i="3"/>
  <c r="F38" i="3"/>
  <c r="G38" i="3" s="1"/>
  <c r="H38" i="3" s="1"/>
  <c r="P108" i="3"/>
  <c r="K108" i="3"/>
  <c r="F108" i="3"/>
  <c r="G108" i="3" s="1"/>
  <c r="H108" i="3" s="1"/>
  <c r="K37" i="3"/>
  <c r="S37" i="3" s="1"/>
  <c r="F37" i="3"/>
  <c r="G37" i="3" s="1"/>
  <c r="H37" i="3" s="1"/>
  <c r="P36" i="3"/>
  <c r="K36" i="3"/>
  <c r="F36" i="3"/>
  <c r="G36" i="3" s="1"/>
  <c r="H36" i="3" s="1"/>
  <c r="K35" i="3"/>
  <c r="F35" i="3"/>
  <c r="G35" i="3" s="1"/>
  <c r="H35" i="3" s="1"/>
  <c r="S34" i="3"/>
  <c r="K34" i="3"/>
  <c r="F34" i="3"/>
  <c r="G34" i="3" s="1"/>
  <c r="H34" i="3" s="1"/>
  <c r="P33" i="3"/>
  <c r="K33" i="3"/>
  <c r="F33" i="3"/>
  <c r="G33" i="3" s="1"/>
  <c r="H33" i="3" s="1"/>
  <c r="K32" i="3"/>
  <c r="S32" i="3" s="1"/>
  <c r="F32" i="3"/>
  <c r="G32" i="3" s="1"/>
  <c r="H32" i="3" s="1"/>
  <c r="P31" i="3"/>
  <c r="K31" i="3"/>
  <c r="F31" i="3"/>
  <c r="G31" i="3" s="1"/>
  <c r="H31" i="3" s="1"/>
  <c r="P30" i="3"/>
  <c r="K30" i="3"/>
  <c r="F30" i="3"/>
  <c r="G30" i="3" s="1"/>
  <c r="H30" i="3" s="1"/>
  <c r="P29" i="3"/>
  <c r="K29" i="3"/>
  <c r="F29" i="3"/>
  <c r="G29" i="3" s="1"/>
  <c r="H29" i="3" s="1"/>
  <c r="K28" i="3"/>
  <c r="F28" i="3"/>
  <c r="G28" i="3" s="1"/>
  <c r="H28" i="3" s="1"/>
  <c r="P27" i="3"/>
  <c r="K27" i="3"/>
  <c r="F27" i="3"/>
  <c r="G27" i="3" s="1"/>
  <c r="H27" i="3" s="1"/>
  <c r="P26" i="3"/>
  <c r="K26" i="3"/>
  <c r="F26" i="3"/>
  <c r="G26" i="3" s="1"/>
  <c r="H26" i="3" s="1"/>
  <c r="K25" i="3"/>
  <c r="S25" i="3" s="1"/>
  <c r="F25" i="3"/>
  <c r="G25" i="3" s="1"/>
  <c r="H25" i="3" s="1"/>
  <c r="K24" i="3"/>
  <c r="F24" i="3"/>
  <c r="G24" i="3" s="1"/>
  <c r="H24" i="3" s="1"/>
  <c r="P23" i="3"/>
  <c r="K23" i="3"/>
  <c r="F23" i="3"/>
  <c r="G23" i="3" s="1"/>
  <c r="H23" i="3" s="1"/>
  <c r="P22" i="3"/>
  <c r="K22" i="3"/>
  <c r="F22" i="3"/>
  <c r="G22" i="3" s="1"/>
  <c r="H22" i="3" s="1"/>
  <c r="K21" i="3"/>
  <c r="F21" i="3"/>
  <c r="G21" i="3" s="1"/>
  <c r="H21" i="3" s="1"/>
  <c r="K20" i="3"/>
  <c r="F20" i="3"/>
  <c r="G20" i="3" s="1"/>
  <c r="H20" i="3" s="1"/>
  <c r="K19" i="3"/>
  <c r="S19" i="3" s="1"/>
  <c r="F19" i="3"/>
  <c r="G19" i="3" s="1"/>
  <c r="H19" i="3" s="1"/>
  <c r="P18" i="3"/>
  <c r="K18" i="3"/>
  <c r="F18" i="3"/>
  <c r="G18" i="3" s="1"/>
  <c r="H18" i="3" s="1"/>
  <c r="K17" i="3"/>
  <c r="F17" i="3"/>
  <c r="G17" i="3" s="1"/>
  <c r="H17" i="3" s="1"/>
  <c r="P16" i="3"/>
  <c r="K16" i="3"/>
  <c r="F16" i="3"/>
  <c r="G16" i="3" s="1"/>
  <c r="H16" i="3" s="1"/>
  <c r="P15" i="3"/>
  <c r="K15" i="3"/>
  <c r="F15" i="3"/>
  <c r="G15" i="3" s="1"/>
  <c r="H15" i="3" s="1"/>
  <c r="S14" i="3"/>
  <c r="K14" i="3"/>
  <c r="F14" i="3"/>
  <c r="G14" i="3" s="1"/>
  <c r="H14" i="3" s="1"/>
  <c r="K13" i="3"/>
  <c r="F13" i="3"/>
  <c r="G13" i="3" s="1"/>
  <c r="H13" i="3" s="1"/>
  <c r="P12" i="3"/>
  <c r="K12" i="3"/>
  <c r="F12" i="3"/>
  <c r="G12" i="3" s="1"/>
  <c r="H12" i="3" s="1"/>
  <c r="P11" i="3"/>
  <c r="K11" i="3"/>
  <c r="F11" i="3"/>
  <c r="G11" i="3" s="1"/>
  <c r="H11" i="3" s="1"/>
  <c r="P10" i="3"/>
  <c r="K10" i="3"/>
  <c r="F10" i="3"/>
  <c r="G10" i="3" s="1"/>
  <c r="H10" i="3" s="1"/>
  <c r="S9" i="3"/>
  <c r="K9" i="3"/>
  <c r="F9" i="3"/>
  <c r="G9" i="3" s="1"/>
  <c r="H9" i="3" s="1"/>
  <c r="P8" i="3"/>
  <c r="K8" i="3"/>
  <c r="F8" i="3"/>
  <c r="G8" i="3" s="1"/>
  <c r="H8" i="3" s="1"/>
  <c r="P7" i="3"/>
  <c r="K7" i="3"/>
  <c r="F7" i="3"/>
  <c r="G7" i="3" s="1"/>
  <c r="H7" i="3" s="1"/>
  <c r="P6" i="3"/>
  <c r="K6" i="3"/>
  <c r="F6" i="3"/>
  <c r="G6" i="3" s="1"/>
  <c r="H6" i="3" s="1"/>
  <c r="P5" i="3"/>
  <c r="K5" i="3"/>
  <c r="F5" i="3"/>
  <c r="G5" i="3" s="1"/>
  <c r="H5" i="3" s="1"/>
  <c r="P4" i="3"/>
  <c r="K4" i="3"/>
  <c r="F4" i="3"/>
  <c r="G4" i="3" s="1"/>
  <c r="H4" i="3" s="1"/>
  <c r="P3" i="3"/>
  <c r="K3" i="3"/>
  <c r="F3" i="3"/>
  <c r="G3" i="3" s="1"/>
  <c r="H3" i="3" s="1"/>
  <c r="K2" i="3"/>
  <c r="F2" i="3"/>
  <c r="G2" i="3" s="1"/>
  <c r="H2" i="3" s="1"/>
  <c r="C5" i="1"/>
  <c r="A5" i="1"/>
  <c r="T77" i="3" l="1"/>
  <c r="T119" i="3"/>
  <c r="S20" i="3"/>
  <c r="Q44" i="3"/>
  <c r="Q48" i="3"/>
  <c r="Q52" i="3"/>
  <c r="Q109" i="3"/>
  <c r="Q61" i="3"/>
  <c r="S63" i="3"/>
  <c r="Q23" i="3"/>
  <c r="Q27" i="3"/>
  <c r="S126" i="3"/>
  <c r="T70" i="3"/>
  <c r="Q31" i="3"/>
  <c r="P49" i="3"/>
  <c r="R49" i="3" s="1"/>
  <c r="R6" i="3"/>
  <c r="R10" i="3"/>
  <c r="R18" i="3"/>
  <c r="S28" i="3"/>
  <c r="P41" i="3"/>
  <c r="Q41" i="3" s="1"/>
  <c r="P14" i="3"/>
  <c r="P34" i="3"/>
  <c r="T34" i="3" s="1"/>
  <c r="S13" i="3"/>
  <c r="S17" i="3"/>
  <c r="P85" i="3"/>
  <c r="Q85" i="3" s="1"/>
  <c r="T3" i="3"/>
  <c r="Q3" i="3"/>
  <c r="T7" i="3"/>
  <c r="Q7" i="3"/>
  <c r="T11" i="3"/>
  <c r="Q11" i="3"/>
  <c r="T15" i="3"/>
  <c r="Q15" i="3"/>
  <c r="R91" i="3"/>
  <c r="P142" i="3"/>
  <c r="T142" i="3" s="1"/>
  <c r="P58" i="3"/>
  <c r="T58" i="3" s="1"/>
  <c r="S21" i="3"/>
  <c r="S24" i="3"/>
  <c r="S35" i="3"/>
  <c r="Q63" i="3"/>
  <c r="S68" i="3"/>
  <c r="S102" i="3"/>
  <c r="P134" i="3"/>
  <c r="R134" i="3" s="1"/>
  <c r="P130" i="3"/>
  <c r="T130" i="3" s="1"/>
  <c r="P128" i="3"/>
  <c r="T128" i="3" s="1"/>
  <c r="P72" i="3"/>
  <c r="R72" i="3" s="1"/>
  <c r="P115" i="3"/>
  <c r="T115" i="3" s="1"/>
  <c r="P125" i="3"/>
  <c r="Q125" i="3" s="1"/>
  <c r="P123" i="3"/>
  <c r="Q123" i="3" s="1"/>
  <c r="P40" i="3"/>
  <c r="Q40" i="3" s="1"/>
  <c r="P37" i="3"/>
  <c r="R37" i="3" s="1"/>
  <c r="P25" i="3"/>
  <c r="R25" i="3" s="1"/>
  <c r="P21" i="3"/>
  <c r="R21" i="3" s="1"/>
  <c r="P17" i="3"/>
  <c r="R17" i="3" s="1"/>
  <c r="P13" i="3"/>
  <c r="R13" i="3" s="1"/>
  <c r="P9" i="3"/>
  <c r="P98" i="3"/>
  <c r="T98" i="3" s="1"/>
  <c r="S5" i="3"/>
  <c r="P121" i="3"/>
  <c r="T121" i="3" s="1"/>
  <c r="P99" i="3"/>
  <c r="T99" i="3" s="1"/>
  <c r="P96" i="3"/>
  <c r="T96" i="3" s="1"/>
  <c r="P138" i="3"/>
  <c r="T138" i="3" s="1"/>
  <c r="P136" i="3"/>
  <c r="R136" i="3" s="1"/>
  <c r="P124" i="3"/>
  <c r="R124" i="3" s="1"/>
  <c r="P43" i="3"/>
  <c r="T43" i="3" s="1"/>
  <c r="P32" i="3"/>
  <c r="Q32" i="3" s="1"/>
  <c r="P28" i="3"/>
  <c r="Q28" i="3" s="1"/>
  <c r="P24" i="3"/>
  <c r="P20" i="3"/>
  <c r="R20" i="3" s="1"/>
  <c r="S4" i="3"/>
  <c r="S8" i="3"/>
  <c r="S12" i="3"/>
  <c r="S16" i="3"/>
  <c r="S66" i="3"/>
  <c r="R68" i="3"/>
  <c r="T89" i="3"/>
  <c r="Q103" i="3"/>
  <c r="T107" i="3"/>
  <c r="P86" i="3"/>
  <c r="T86" i="3" s="1"/>
  <c r="P74" i="3"/>
  <c r="R74" i="3" s="1"/>
  <c r="P126" i="3"/>
  <c r="Q126" i="3" s="1"/>
  <c r="P35" i="3"/>
  <c r="Q35" i="3" s="1"/>
  <c r="P19" i="3"/>
  <c r="Q19" i="3" s="1"/>
  <c r="R102" i="3"/>
  <c r="T105" i="3"/>
  <c r="R30" i="3"/>
  <c r="R122" i="3"/>
  <c r="R15" i="3"/>
  <c r="R23" i="3"/>
  <c r="R27" i="3"/>
  <c r="R93" i="3"/>
  <c r="Q77" i="3"/>
  <c r="Q119" i="3"/>
  <c r="R92" i="3"/>
  <c r="R29" i="3"/>
  <c r="R3" i="3"/>
  <c r="R7" i="3"/>
  <c r="S22" i="3"/>
  <c r="S26" i="3"/>
  <c r="S64" i="3"/>
  <c r="Q70" i="3"/>
  <c r="S71" i="3"/>
  <c r="Q75" i="3"/>
  <c r="S75" i="3"/>
  <c r="S137" i="3"/>
  <c r="S88" i="3"/>
  <c r="S65" i="3"/>
  <c r="R65" i="3"/>
  <c r="R75" i="3"/>
  <c r="R11" i="3"/>
  <c r="S3" i="3"/>
  <c r="S7" i="3"/>
  <c r="S11" i="3"/>
  <c r="S15" i="3"/>
  <c r="S23" i="3"/>
  <c r="S27" i="3"/>
  <c r="R31" i="3"/>
  <c r="T33" i="3"/>
  <c r="R33" i="3"/>
  <c r="R39" i="3"/>
  <c r="R47" i="3"/>
  <c r="R51" i="3"/>
  <c r="R57" i="3"/>
  <c r="R62" i="3"/>
  <c r="R127" i="3"/>
  <c r="S129" i="3"/>
  <c r="S117" i="3"/>
  <c r="R117" i="3"/>
  <c r="S79" i="3"/>
  <c r="R79" i="3"/>
  <c r="S133" i="3"/>
  <c r="S80" i="3"/>
  <c r="T120" i="3"/>
  <c r="T66" i="3"/>
  <c r="Q66" i="3"/>
  <c r="A14" i="1"/>
  <c r="R5" i="3"/>
  <c r="T23" i="3"/>
  <c r="T27" i="3"/>
  <c r="T29" i="3"/>
  <c r="S36" i="3"/>
  <c r="Q36" i="3"/>
  <c r="S38" i="3"/>
  <c r="Q38" i="3"/>
  <c r="S42" i="3"/>
  <c r="Q42" i="3"/>
  <c r="S46" i="3"/>
  <c r="Q46" i="3"/>
  <c r="S50" i="3"/>
  <c r="Q50" i="3"/>
  <c r="S54" i="3"/>
  <c r="Q54" i="3"/>
  <c r="S56" i="3"/>
  <c r="Q56" i="3"/>
  <c r="S59" i="3"/>
  <c r="Q59" i="3"/>
  <c r="S110" i="3"/>
  <c r="Q110" i="3"/>
  <c r="S112" i="3"/>
  <c r="Q112" i="3"/>
  <c r="Q114" i="3"/>
  <c r="S114" i="3"/>
  <c r="S127" i="3"/>
  <c r="R82" i="3"/>
  <c r="S82" i="3"/>
  <c r="S140" i="3"/>
  <c r="S141" i="3"/>
  <c r="R101" i="3"/>
  <c r="Q101" i="3"/>
  <c r="S67" i="3"/>
  <c r="R70" i="3"/>
  <c r="R77" i="3"/>
  <c r="R119" i="3"/>
  <c r="S81" i="3"/>
  <c r="T83" i="3"/>
  <c r="T92" i="3"/>
  <c r="T95" i="3"/>
  <c r="T101" i="3"/>
  <c r="T103" i="3"/>
  <c r="T143" i="3"/>
  <c r="R106" i="3"/>
  <c r="S31" i="3"/>
  <c r="R108" i="3"/>
  <c r="S44" i="3"/>
  <c r="R45" i="3"/>
  <c r="S48" i="3"/>
  <c r="S52" i="3"/>
  <c r="R53" i="3"/>
  <c r="S109" i="3"/>
  <c r="R55" i="3"/>
  <c r="R60" i="3"/>
  <c r="S61" i="3"/>
  <c r="R111" i="3"/>
  <c r="R64" i="3"/>
  <c r="R66" i="3"/>
  <c r="R67" i="3"/>
  <c r="S70" i="3"/>
  <c r="R71" i="3"/>
  <c r="S77" i="3"/>
  <c r="S119" i="3"/>
  <c r="T84" i="3"/>
  <c r="R137" i="3"/>
  <c r="T91" i="3"/>
  <c r="Q92" i="3"/>
  <c r="S93" i="3"/>
  <c r="S94" i="3"/>
  <c r="R97" i="3"/>
  <c r="R140" i="3"/>
  <c r="R105" i="3"/>
  <c r="Q6" i="3"/>
  <c r="T6" i="3"/>
  <c r="Q18" i="3"/>
  <c r="T18" i="3"/>
  <c r="Q10" i="3"/>
  <c r="T10" i="3"/>
  <c r="S6" i="3"/>
  <c r="S10" i="3"/>
  <c r="S18" i="3"/>
  <c r="P2" i="3"/>
  <c r="R4" i="3"/>
  <c r="R8" i="3"/>
  <c r="R16" i="3"/>
  <c r="R26" i="3"/>
  <c r="S30" i="3"/>
  <c r="S108" i="3"/>
  <c r="T38" i="3"/>
  <c r="S39" i="3"/>
  <c r="T44" i="3"/>
  <c r="S45" i="3"/>
  <c r="T46" i="3"/>
  <c r="S47" i="3"/>
  <c r="T48" i="3"/>
  <c r="S51" i="3"/>
  <c r="T52" i="3"/>
  <c r="S53" i="3"/>
  <c r="T54" i="3"/>
  <c r="T109" i="3"/>
  <c r="S55" i="3"/>
  <c r="S57" i="3"/>
  <c r="T59" i="3"/>
  <c r="S60" i="3"/>
  <c r="T61" i="3"/>
  <c r="S111" i="3"/>
  <c r="T112" i="3"/>
  <c r="S62" i="3"/>
  <c r="S2" i="3"/>
  <c r="Q76" i="3"/>
  <c r="T76" i="3"/>
  <c r="Q132" i="3"/>
  <c r="T132" i="3"/>
  <c r="Q135" i="3"/>
  <c r="T135" i="3"/>
  <c r="S29" i="3"/>
  <c r="Q30" i="3"/>
  <c r="S33" i="3"/>
  <c r="Q108" i="3"/>
  <c r="R38" i="3"/>
  <c r="Q39" i="3"/>
  <c r="R44" i="3"/>
  <c r="Q45" i="3"/>
  <c r="R46" i="3"/>
  <c r="Q47" i="3"/>
  <c r="R48" i="3"/>
  <c r="Q51" i="3"/>
  <c r="R52" i="3"/>
  <c r="Q53" i="3"/>
  <c r="R54" i="3"/>
  <c r="R109" i="3"/>
  <c r="Q55" i="3"/>
  <c r="Q57" i="3"/>
  <c r="R59" i="3"/>
  <c r="Q60" i="3"/>
  <c r="R61" i="3"/>
  <c r="Q111" i="3"/>
  <c r="R112" i="3"/>
  <c r="Q62" i="3"/>
  <c r="R69" i="3"/>
  <c r="S69" i="3"/>
  <c r="T30" i="3"/>
  <c r="T113" i="3"/>
  <c r="Q113" i="3"/>
  <c r="Q118" i="3"/>
  <c r="T118" i="3"/>
  <c r="Q29" i="3"/>
  <c r="T31" i="3"/>
  <c r="Q33" i="3"/>
  <c r="R63" i="3"/>
  <c r="R116" i="3"/>
  <c r="Q68" i="3"/>
  <c r="T68" i="3"/>
  <c r="R73" i="3"/>
  <c r="T75" i="3"/>
  <c r="R78" i="3"/>
  <c r="R131" i="3"/>
  <c r="T108" i="3"/>
  <c r="T39" i="3"/>
  <c r="T45" i="3"/>
  <c r="T47" i="3"/>
  <c r="T51" i="3"/>
  <c r="T53" i="3"/>
  <c r="T55" i="3"/>
  <c r="T57" i="3"/>
  <c r="T60" i="3"/>
  <c r="T111" i="3"/>
  <c r="T62" i="3"/>
  <c r="R113" i="3"/>
  <c r="S113" i="3"/>
  <c r="Q64" i="3"/>
  <c r="T64" i="3"/>
  <c r="Q116" i="3"/>
  <c r="T116" i="3"/>
  <c r="Q73" i="3"/>
  <c r="T73" i="3"/>
  <c r="Q78" i="3"/>
  <c r="T78" i="3"/>
  <c r="Q131" i="3"/>
  <c r="T131" i="3"/>
  <c r="T63" i="3"/>
  <c r="T114" i="3"/>
  <c r="S116" i="3"/>
  <c r="Q71" i="3"/>
  <c r="T71" i="3"/>
  <c r="S73" i="3"/>
  <c r="R76" i="3"/>
  <c r="R118" i="3"/>
  <c r="R132" i="3"/>
  <c r="R135" i="3"/>
  <c r="S76" i="3"/>
  <c r="S78" i="3"/>
  <c r="S118" i="3"/>
  <c r="S131" i="3"/>
  <c r="S132" i="3"/>
  <c r="S135" i="3"/>
  <c r="Q90" i="3"/>
  <c r="T90" i="3"/>
  <c r="Q139" i="3"/>
  <c r="T139" i="3"/>
  <c r="Q100" i="3"/>
  <c r="T100" i="3"/>
  <c r="Q104" i="3"/>
  <c r="T104" i="3"/>
  <c r="R81" i="3"/>
  <c r="Q83" i="3"/>
  <c r="Q84" i="3"/>
  <c r="Q120" i="3"/>
  <c r="Q89" i="3"/>
  <c r="S90" i="3"/>
  <c r="Q95" i="3"/>
  <c r="S139" i="3"/>
  <c r="Q97" i="3"/>
  <c r="T97" i="3"/>
  <c r="S100" i="3"/>
  <c r="Q122" i="3"/>
  <c r="T122" i="3"/>
  <c r="Q143" i="3"/>
  <c r="S104" i="3"/>
  <c r="Q106" i="3"/>
  <c r="T106" i="3"/>
  <c r="R107" i="3"/>
  <c r="S83" i="3"/>
  <c r="S84" i="3"/>
  <c r="S86" i="3"/>
  <c r="S120" i="3"/>
  <c r="R87" i="3"/>
  <c r="S87" i="3"/>
  <c r="Q137" i="3"/>
  <c r="T137" i="3"/>
  <c r="R88" i="3"/>
  <c r="Q91" i="3"/>
  <c r="Q93" i="3"/>
  <c r="T93" i="3"/>
  <c r="R94" i="3"/>
  <c r="S97" i="3"/>
  <c r="Q140" i="3"/>
  <c r="T140" i="3"/>
  <c r="R141" i="3"/>
  <c r="S122" i="3"/>
  <c r="Q102" i="3"/>
  <c r="T102" i="3"/>
  <c r="R103" i="3"/>
  <c r="Q105" i="3"/>
  <c r="S106" i="3"/>
  <c r="R83" i="3"/>
  <c r="R84" i="3"/>
  <c r="R120" i="3"/>
  <c r="Q88" i="3"/>
  <c r="T88" i="3"/>
  <c r="R89" i="3"/>
  <c r="R90" i="3"/>
  <c r="Q94" i="3"/>
  <c r="T94" i="3"/>
  <c r="R95" i="3"/>
  <c r="R139" i="3"/>
  <c r="Q141" i="3"/>
  <c r="T141" i="3"/>
  <c r="R100" i="3"/>
  <c r="R143" i="3"/>
  <c r="R104" i="3"/>
  <c r="Q107" i="3"/>
  <c r="S138" i="3"/>
  <c r="S89" i="3"/>
  <c r="S91" i="3"/>
  <c r="S92" i="3"/>
  <c r="S95" i="3"/>
  <c r="S96" i="3"/>
  <c r="S98" i="3"/>
  <c r="S99" i="3"/>
  <c r="S142" i="3"/>
  <c r="S121" i="3"/>
  <c r="S101" i="3"/>
  <c r="S103" i="3"/>
  <c r="S143" i="3"/>
  <c r="S105" i="3"/>
  <c r="S107" i="3"/>
  <c r="C14" i="1" l="1"/>
  <c r="A11" i="1"/>
  <c r="C11" i="1"/>
  <c r="R40" i="3"/>
  <c r="Q34" i="3"/>
  <c r="Q130" i="3"/>
  <c r="Q138" i="3"/>
  <c r="R34" i="3"/>
  <c r="T123" i="3"/>
  <c r="Q86" i="3"/>
  <c r="T85" i="3"/>
  <c r="Q99" i="3"/>
  <c r="R99" i="3"/>
  <c r="T40" i="3"/>
  <c r="Q96" i="3"/>
  <c r="Q98" i="3"/>
  <c r="Q37" i="3"/>
  <c r="R98" i="3"/>
  <c r="T126" i="3"/>
  <c r="R115" i="3"/>
  <c r="T49" i="3"/>
  <c r="Q142" i="3"/>
  <c r="R126" i="3"/>
  <c r="Q49" i="3"/>
  <c r="R43" i="3"/>
  <c r="R138" i="3"/>
  <c r="T41" i="3"/>
  <c r="R35" i="3"/>
  <c r="T32" i="3"/>
  <c r="R125" i="3"/>
  <c r="R128" i="3"/>
  <c r="T125" i="3"/>
  <c r="R32" i="3"/>
  <c r="Q121" i="3"/>
  <c r="Q128" i="3"/>
  <c r="T35" i="3"/>
  <c r="R123" i="3"/>
  <c r="T28" i="3"/>
  <c r="R41" i="3"/>
  <c r="R121" i="3"/>
  <c r="T136" i="3"/>
  <c r="R28" i="3"/>
  <c r="Q115" i="3"/>
  <c r="T19" i="3"/>
  <c r="R142" i="3"/>
  <c r="R86" i="3"/>
  <c r="Q58" i="3"/>
  <c r="Q136" i="3"/>
  <c r="R58" i="3"/>
  <c r="R130" i="3"/>
  <c r="R96" i="3"/>
  <c r="R19" i="3"/>
  <c r="R85" i="3"/>
  <c r="T124" i="3"/>
  <c r="Q124" i="3"/>
  <c r="T134" i="3"/>
  <c r="Q134" i="3"/>
  <c r="T42" i="3"/>
  <c r="R36" i="3"/>
  <c r="T36" i="3"/>
  <c r="T110" i="3"/>
  <c r="T37" i="3"/>
  <c r="Q43" i="3"/>
  <c r="T82" i="3"/>
  <c r="Q82" i="3"/>
  <c r="T80" i="3"/>
  <c r="Q80" i="3"/>
  <c r="T79" i="3"/>
  <c r="Q79" i="3"/>
  <c r="T129" i="3"/>
  <c r="Q129" i="3"/>
  <c r="Q65" i="3"/>
  <c r="T65" i="3"/>
  <c r="T25" i="3"/>
  <c r="Q25" i="3"/>
  <c r="T17" i="3"/>
  <c r="Q17" i="3"/>
  <c r="R110" i="3"/>
  <c r="R56" i="3"/>
  <c r="R50" i="3"/>
  <c r="R42" i="3"/>
  <c r="T56" i="3"/>
  <c r="T50" i="3"/>
  <c r="T67" i="3"/>
  <c r="Q67" i="3"/>
  <c r="T127" i="3"/>
  <c r="Q127" i="3"/>
  <c r="R114" i="3"/>
  <c r="T5" i="3"/>
  <c r="Q5" i="3"/>
  <c r="R80" i="3"/>
  <c r="R129" i="3"/>
  <c r="T9" i="3"/>
  <c r="Q9" i="3"/>
  <c r="T72" i="3"/>
  <c r="Q72" i="3"/>
  <c r="R9" i="3"/>
  <c r="T133" i="3"/>
  <c r="Q133" i="3"/>
  <c r="T117" i="3"/>
  <c r="Q117" i="3"/>
  <c r="T74" i="3"/>
  <c r="Q74" i="3"/>
  <c r="T21" i="3"/>
  <c r="Q21" i="3"/>
  <c r="R133" i="3"/>
  <c r="T13" i="3"/>
  <c r="Q13" i="3"/>
  <c r="Q24" i="3"/>
  <c r="T24" i="3"/>
  <c r="T87" i="3"/>
  <c r="Q87" i="3"/>
  <c r="Q22" i="3"/>
  <c r="T22" i="3"/>
  <c r="Q12" i="3"/>
  <c r="T12" i="3"/>
  <c r="R22" i="3"/>
  <c r="Q14" i="3"/>
  <c r="T14" i="3"/>
  <c r="R24" i="3"/>
  <c r="Q81" i="3"/>
  <c r="T81" i="3"/>
  <c r="Q69" i="3"/>
  <c r="T69" i="3"/>
  <c r="Q20" i="3"/>
  <c r="T20" i="3"/>
  <c r="Q8" i="3"/>
  <c r="T8" i="3"/>
  <c r="R14" i="3"/>
  <c r="Q2" i="3"/>
  <c r="T2" i="3"/>
  <c r="Q26" i="3"/>
  <c r="T26" i="3"/>
  <c r="Q16" i="3"/>
  <c r="T16" i="3"/>
  <c r="Q4" i="3"/>
  <c r="T4" i="3"/>
  <c r="R12" i="3"/>
  <c r="R2" i="3"/>
  <c r="C8" i="1" l="1"/>
  <c r="A8" i="1"/>
</calcChain>
</file>

<file path=xl/sharedStrings.xml><?xml version="1.0" encoding="utf-8"?>
<sst xmlns="http://schemas.openxmlformats.org/spreadsheetml/2006/main" count="524" uniqueCount="244">
  <si>
    <t>쿠팡 로켓 상품 관리 (한눈에 보기)</t>
  </si>
  <si>
    <t>기준: 최근월1/2 판매 입력 → 안전재고/발주 자동 산출</t>
  </si>
  <si>
    <t>총 상품수</t>
  </si>
  <si>
    <t>판매중 상품수</t>
  </si>
  <si>
    <t>재고부족 상품수</t>
  </si>
  <si>
    <t>재고부족 수량(합)</t>
  </si>
  <si>
    <t>월평균출고(합)</t>
  </si>
  <si>
    <t>예상 30일 공급매출(원)</t>
  </si>
  <si>
    <t>평균 마진율(판매중)</t>
  </si>
  <si>
    <t>재고 커버리지(일)</t>
  </si>
  <si>
    <t>쿠팡 로켓 관리 설정</t>
  </si>
  <si>
    <t>실원가 가중률(부가/수수료 등)</t>
  </si>
  <si>
    <t>발주 목표 배수(안전재고 x 배수)</t>
  </si>
  <si>
    <t>안전재고 비율(월평균출고 x 비율)</t>
  </si>
  <si>
    <t>마진율 경고 기준</t>
  </si>
  <si>
    <t>재고일수 경고 기준(일)</t>
  </si>
  <si>
    <t>재고일수 과다 기준(일)</t>
  </si>
  <si>
    <t>최근월1 라벨(표기용)</t>
  </si>
  <si>
    <t>26년 1월</t>
  </si>
  <si>
    <t>최근월2 라벨(표기용)</t>
  </si>
  <si>
    <t>26년 2월</t>
  </si>
  <si>
    <t>상태</t>
  </si>
  <si>
    <t>상품명</t>
  </si>
  <si>
    <t>공급가(원)</t>
  </si>
  <si>
    <t>원가(원)</t>
  </si>
  <si>
    <t>실원가(원)</t>
  </si>
  <si>
    <t>마진(원)</t>
  </si>
  <si>
    <t>마진율</t>
  </si>
  <si>
    <t>현재고</t>
  </si>
  <si>
    <t>입고예정</t>
  </si>
  <si>
    <t>가용재고</t>
  </si>
  <si>
    <t>월평균출고</t>
  </si>
  <si>
    <t>안전재고</t>
  </si>
  <si>
    <t>부족수량</t>
  </si>
  <si>
    <t>재고상태</t>
  </si>
  <si>
    <t>재고일수(일)</t>
  </si>
  <si>
    <t>발주권장</t>
  </si>
  <si>
    <t>리뷰수</t>
  </si>
  <si>
    <t>비고</t>
  </si>
  <si>
    <t>판매중</t>
  </si>
  <si>
    <t>50개국세계지도만국기</t>
  </si>
  <si>
    <t>1000불빛슈팅낙하산(쿠팡용)</t>
  </si>
  <si>
    <t>12색 히어로 사인펜세트5번들(혼합)</t>
  </si>
  <si>
    <t>1500레고블럭</t>
  </si>
  <si>
    <t>LCD컬러전자메모보드(8.5인치)</t>
  </si>
  <si>
    <t>1000제로탄산슬라임</t>
  </si>
  <si>
    <t>2500롱스틱물총(유니콘)</t>
  </si>
  <si>
    <t>1500샤이니무지개칼라링</t>
  </si>
  <si>
    <t>해피원목칠교(중)</t>
  </si>
  <si>
    <t>2500LED탱탱바운스손목공</t>
  </si>
  <si>
    <t>2000퓨어클리어슬라임</t>
  </si>
  <si>
    <t>2500유니콘워터게임기</t>
  </si>
  <si>
    <t>8000해피원목테트리스퍼즐</t>
  </si>
  <si>
    <t>2500롱스틱물총(아기상어)</t>
  </si>
  <si>
    <t>4000LED반짝윙윙바람개비버블세트</t>
  </si>
  <si>
    <t>3000잔디인형키우기(못난이)</t>
  </si>
  <si>
    <t>1200러브오리비눗방울</t>
  </si>
  <si>
    <t>꼬꼬반자동연필깎이</t>
  </si>
  <si>
    <t>8000멀티라켓볼세트</t>
  </si>
  <si>
    <t>6000야광공룡화석키트</t>
  </si>
  <si>
    <t>3500LED글라이더</t>
  </si>
  <si>
    <t>3000길어져랏안테나잠자리채</t>
  </si>
  <si>
    <t>해피원목칠교(대)</t>
  </si>
  <si>
    <t>반짝이바람개비(만들기)</t>
  </si>
  <si>
    <t>4000상어막대물총</t>
  </si>
  <si>
    <t>3000불빛자석팽이(쿠팡용)</t>
  </si>
  <si>
    <t>3000슈가귤쫀득쫀득주물럭</t>
  </si>
  <si>
    <t>6000LED불빛현미경</t>
  </si>
  <si>
    <t>9000회오리막대물총</t>
  </si>
  <si>
    <t>2000돋보기곤충채집통</t>
  </si>
  <si>
    <t>1500해피글로우야광꽈배기프로펠라</t>
  </si>
  <si>
    <t>50000전문가용메탈요요</t>
  </si>
  <si>
    <t>1200조각왕지우개</t>
  </si>
  <si>
    <t>단종</t>
  </si>
  <si>
    <t>3000불빛젤리냥이발바닥</t>
  </si>
  <si>
    <t>LCD컬러전자메모보드(6.5인치)</t>
  </si>
  <si>
    <t>3500야광공룡발굴키트</t>
  </si>
  <si>
    <t>3000소리나는동물막대풍선2탄</t>
  </si>
  <si>
    <t>10000로프빅버블만들기세트</t>
  </si>
  <si>
    <t>4000LED글라이더</t>
  </si>
  <si>
    <t>4000자연나라관찰채집통</t>
  </si>
  <si>
    <t>35000트라이앵글블로킹</t>
  </si>
  <si>
    <t>3000 3in1롤리팝야광봉</t>
  </si>
  <si>
    <t>700카피바라비눗방울</t>
  </si>
  <si>
    <t>브레인레고(소)</t>
  </si>
  <si>
    <t>진짜같은야채모형세트</t>
  </si>
  <si>
    <t>2500스톤말랑이</t>
  </si>
  <si>
    <t>2000DIY반려애완돌키우기(2탄)</t>
  </si>
  <si>
    <t>월드컵스펀지축구공</t>
  </si>
  <si>
    <t>8000해피툭툭빅폼블럭</t>
  </si>
  <si>
    <t>2500슈팅에어글라이더</t>
  </si>
  <si>
    <t>1200미사일물총</t>
  </si>
  <si>
    <t>5000빅생수통치즈슬라임</t>
  </si>
  <si>
    <t>LCD컬러전자메모보드(10인치)</t>
  </si>
  <si>
    <t>2000DIY무지배틀글라이더</t>
  </si>
  <si>
    <t>10000큐티곤충나라체험채집통</t>
  </si>
  <si>
    <t>LCD컬러전자메모보드(12인치)</t>
  </si>
  <si>
    <t>4000안테나왕잠자리채</t>
  </si>
  <si>
    <t>2000해피글로우롤리팝캔디야광봉만들기</t>
  </si>
  <si>
    <t>10000미니(보이스체인지)확성기</t>
  </si>
  <si>
    <t>1500큐티1+1점핑볼인형세트</t>
  </si>
  <si>
    <t>3000워터밤제트배틀건</t>
  </si>
  <si>
    <t>해바라기바람개비</t>
  </si>
  <si>
    <t>2500동글스틱왕비눗방울</t>
  </si>
  <si>
    <t>4000워터밤파워배틀건</t>
  </si>
  <si>
    <t>12000 2in1라켓볼세트</t>
  </si>
  <si>
    <t>5000대왕꾹꾹이말랑발바닥(2탄)</t>
  </si>
  <si>
    <t>2000DIY슬라임스노우파우더</t>
  </si>
  <si>
    <t>3000해피글로우3색스틱야광봉</t>
  </si>
  <si>
    <t>5000상어비눗방울</t>
  </si>
  <si>
    <t>1500어린이모종삽</t>
  </si>
  <si>
    <t>12000꽃게배낭물총</t>
  </si>
  <si>
    <t>3000돌고래워터건</t>
  </si>
  <si>
    <t>2000생수통치즈슬라임(3탄)</t>
  </si>
  <si>
    <t>곤충확대경</t>
  </si>
  <si>
    <t>3500 12색손에묻지않는크레파스</t>
  </si>
  <si>
    <t>5000엔젤윙롱스틱물총</t>
  </si>
  <si>
    <t>3000추억의뽑기판황금알을찾아라</t>
  </si>
  <si>
    <t>3000네잎크로바!복볼복행운뽑기</t>
  </si>
  <si>
    <t>1500해피슬라임글리세린</t>
  </si>
  <si>
    <t>2500변색토끼주물럭</t>
  </si>
  <si>
    <t>2500곰돌이드로잉키링자석보드</t>
  </si>
  <si>
    <t>3500Power생수통워터건</t>
  </si>
  <si>
    <t>2500오리마술봉비눗방울</t>
  </si>
  <si>
    <t>3000Lotto추억의뽑기판행운로또</t>
  </si>
  <si>
    <t>5000전통대형독수리연세트</t>
  </si>
  <si>
    <t>15000레인매직변색우산</t>
  </si>
  <si>
    <t>1500쥬쥬바람개비비눗방울</t>
  </si>
  <si>
    <t>12000더블파워장거리물총</t>
  </si>
  <si>
    <t>2000띠용말랑슬리퍼</t>
  </si>
  <si>
    <t>1000해피슬라임액티베이터(2탄)</t>
  </si>
  <si>
    <t>미니자동차연필깎이(소)</t>
  </si>
  <si>
    <t>700베베러브덕비눗방울</t>
  </si>
  <si>
    <t>10000해피글로우야광봉(100개입)</t>
  </si>
  <si>
    <t>6500 24색손에묻지않는크레파스</t>
  </si>
  <si>
    <t>1500데코큐티세트</t>
  </si>
  <si>
    <t>7000파워장거리물총</t>
  </si>
  <si>
    <t>2500해피글로우야광원반던지기</t>
  </si>
  <si>
    <t>깜찍이동물조립지우개</t>
  </si>
  <si>
    <t>차밍부엉이연필깎이</t>
  </si>
  <si>
    <t>2500스핀워터건</t>
  </si>
  <si>
    <t>1000롤링비눗방울</t>
  </si>
  <si>
    <t>3000입체오리청소세트</t>
  </si>
  <si>
    <t>2000슈가쫀득냥이발바닥</t>
  </si>
  <si>
    <t>8000워터밤압축펌프배틀건</t>
  </si>
  <si>
    <t>18000워터밤울트라펌프배틀건</t>
  </si>
  <si>
    <t>2500펀펀스틱비눗방울</t>
  </si>
  <si>
    <t>버블뮤직가든라이트</t>
  </si>
  <si>
    <t>관리
등급</t>
    <phoneticPr fontId="7" type="noConversion"/>
  </si>
  <si>
    <t>1월</t>
    <phoneticPr fontId="7" type="noConversion"/>
  </si>
  <si>
    <t>2월</t>
    <phoneticPr fontId="7" type="noConversion"/>
  </si>
  <si>
    <t>1500반짝고슴도치요요(쿠팡용)</t>
    <phoneticPr fontId="7" type="noConversion"/>
  </si>
  <si>
    <t>2000바풍투톤슬라임(쿠팡용)</t>
    <phoneticPr fontId="7" type="noConversion"/>
  </si>
  <si>
    <t>11000찍찍이가방캐치볼(블루)</t>
    <phoneticPr fontId="7" type="noConversion"/>
  </si>
  <si>
    <t>3000diy모루인형만들기세트2탄(쿠팡용)</t>
    <phoneticPr fontId="7" type="noConversion"/>
  </si>
  <si>
    <t>3월</t>
    <phoneticPr fontId="7" type="noConversion"/>
  </si>
  <si>
    <t>2000색칠하는가오리연만들기(얼레포함)(쿠팡용)</t>
    <phoneticPr fontId="7" type="noConversion"/>
  </si>
  <si>
    <t>빙글빙글프로펠라</t>
    <phoneticPr fontId="7" type="noConversion"/>
  </si>
  <si>
    <t>15000(250배)정밀현미경관찰세트</t>
    <phoneticPr fontId="7" type="noConversion"/>
  </si>
  <si>
    <t>3000팡팡스폰지로켓(쿠팡용)</t>
    <phoneticPr fontId="7" type="noConversion"/>
  </si>
  <si>
    <t>12색싸인펜+히어로세트</t>
    <phoneticPr fontId="7" type="noConversion"/>
  </si>
  <si>
    <t>3500아이큐브레인구슬퍼즐(쿠팡용)</t>
    <phoneticPr fontId="7" type="noConversion"/>
  </si>
  <si>
    <t>핵심</t>
    <phoneticPr fontId="7" type="noConversion"/>
  </si>
  <si>
    <t>육성</t>
    <phoneticPr fontId="7" type="noConversion"/>
  </si>
  <si>
    <t>정리</t>
    <phoneticPr fontId="7" type="noConversion"/>
  </si>
  <si>
    <t>1000통통지구본소프트볼</t>
    <phoneticPr fontId="7" type="noConversion"/>
  </si>
  <si>
    <t>12000컬러샤인큐티우산</t>
    <phoneticPr fontId="7" type="noConversion"/>
  </si>
  <si>
    <t>1500LED스폰지응원막대</t>
    <phoneticPr fontId="7" type="noConversion"/>
  </si>
  <si>
    <t>5000메가킹구름빵말랑이</t>
    <phoneticPr fontId="7" type="noConversion"/>
  </si>
  <si>
    <t>1000꽈배기프로펠라</t>
    <phoneticPr fontId="7" type="noConversion"/>
  </si>
  <si>
    <t>2000통통지구본소프트볼</t>
    <phoneticPr fontId="7" type="noConversion"/>
  </si>
  <si>
    <t>5000플라잉캐치프로펠라</t>
    <phoneticPr fontId="7" type="noConversion"/>
  </si>
  <si>
    <t>2500LED댄싱파티안경</t>
    <phoneticPr fontId="7" type="noConversion"/>
  </si>
  <si>
    <t>상품평 안좋음</t>
    <phoneticPr fontId="7" type="noConversion"/>
  </si>
  <si>
    <t>10000만능핑킹가위세트</t>
    <phoneticPr fontId="7" type="noConversion"/>
  </si>
  <si>
    <t>6000플라잉디스크원반던지기</t>
    <phoneticPr fontId="7" type="noConversion"/>
  </si>
  <si>
    <t>4000대왕구름빵말랑이</t>
    <phoneticPr fontId="7" type="noConversion"/>
  </si>
  <si>
    <t>1200개구쟁이물총</t>
    <phoneticPr fontId="7" type="noConversion"/>
  </si>
  <si>
    <t>3000심쿵!뽑기왕</t>
    <phoneticPr fontId="7" type="noConversion"/>
  </si>
  <si>
    <t>별점</t>
    <phoneticPr fontId="7" type="noConversion"/>
  </si>
  <si>
    <t>파도(S형)LED발목줄넘기(쿠팡용)</t>
    <phoneticPr fontId="7" type="noConversion"/>
  </si>
  <si>
    <t>11000찍찍이가방캐치볼(핑크)</t>
    <phoneticPr fontId="7" type="noConversion"/>
  </si>
  <si>
    <t>1000고리걸기수중게임(쿠팡용)</t>
    <phoneticPr fontId="7" type="noConversion"/>
  </si>
  <si>
    <t>8000종치기퍼즐게임(쿠팡용)</t>
    <phoneticPr fontId="7" type="noConversion"/>
  </si>
  <si>
    <t>2500해피불빛캐치볼(쿠팡용)</t>
    <phoneticPr fontId="7" type="noConversion"/>
  </si>
  <si>
    <t>해피원목칠교(소)</t>
    <phoneticPr fontId="7" type="noConversion"/>
  </si>
  <si>
    <t>스폰지점핑인형</t>
    <phoneticPr fontId="7" type="noConversion"/>
  </si>
  <si>
    <t>3000글라이더</t>
    <phoneticPr fontId="7" type="noConversion"/>
  </si>
  <si>
    <t>연간목표</t>
    <phoneticPr fontId="7" type="noConversion"/>
  </si>
  <si>
    <t>매출목표</t>
    <phoneticPr fontId="7" type="noConversion"/>
  </si>
  <si>
    <r>
      <rPr>
        <sz val="11"/>
        <rFont val="돋움"/>
        <family val="3"/>
        <charset val="129"/>
      </rPr>
      <t>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매출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 xml:space="preserve">목표
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평균</t>
    </r>
    <r>
      <rPr>
        <sz val="11"/>
        <rFont val="Calibri"/>
        <family val="2"/>
      </rPr>
      <t>)</t>
    </r>
    <phoneticPr fontId="7" type="noConversion"/>
  </si>
  <si>
    <r>
      <rPr>
        <sz val="11"/>
        <rFont val="돋움"/>
        <family val="3"/>
        <charset val="129"/>
      </rPr>
      <t xml:space="preserve">광고비율
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매출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대비</t>
    </r>
    <r>
      <rPr>
        <sz val="11"/>
        <rFont val="Calibri"/>
        <family val="2"/>
      </rPr>
      <t>)</t>
    </r>
    <phoneticPr fontId="7" type="noConversion"/>
  </si>
  <si>
    <r>
      <rPr>
        <sz val="11"/>
        <rFont val="돋움"/>
        <family val="3"/>
        <charset val="129"/>
      </rPr>
      <t>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 xml:space="preserve">광고예산
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평균</t>
    </r>
    <r>
      <rPr>
        <sz val="11"/>
        <rFont val="Calibri"/>
        <family val="2"/>
      </rPr>
      <t>)</t>
    </r>
    <phoneticPr fontId="7" type="noConversion"/>
  </si>
  <si>
    <r>
      <rPr>
        <sz val="11"/>
        <rFont val="돋움"/>
        <family val="3"/>
        <charset val="129"/>
      </rPr>
      <t>평균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판매가</t>
    </r>
    <r>
      <rPr>
        <sz val="11"/>
        <rFont val="Calibri"/>
        <family val="2"/>
      </rPr>
      <t/>
    </r>
    <phoneticPr fontId="7" type="noConversion"/>
  </si>
  <si>
    <r>
      <rPr>
        <sz val="11"/>
        <rFont val="돋움"/>
        <family val="3"/>
        <charset val="129"/>
      </rPr>
      <t>일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 xml:space="preserve">광고예산
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평균</t>
    </r>
    <r>
      <rPr>
        <sz val="11"/>
        <rFont val="Calibri"/>
        <family val="2"/>
      </rPr>
      <t>)</t>
    </r>
    <phoneticPr fontId="7" type="noConversion"/>
  </si>
  <si>
    <r>
      <rPr>
        <sz val="11"/>
        <rFont val="돋움"/>
        <family val="3"/>
        <charset val="129"/>
      </rPr>
      <t>예상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전환율</t>
    </r>
    <r>
      <rPr>
        <sz val="11"/>
        <rFont val="Calibri"/>
        <family val="2"/>
      </rPr>
      <t>(CVR)</t>
    </r>
    <phoneticPr fontId="7" type="noConversion"/>
  </si>
  <si>
    <r>
      <rPr>
        <sz val="11"/>
        <rFont val="돋움"/>
        <family val="3"/>
        <charset val="129"/>
      </rPr>
      <t>평균</t>
    </r>
    <r>
      <rPr>
        <sz val="11"/>
        <rFont val="Calibri"/>
        <family val="2"/>
      </rPr>
      <t xml:space="preserve"> CPC(</t>
    </r>
    <r>
      <rPr>
        <sz val="11"/>
        <rFont val="돋움"/>
        <family val="3"/>
        <charset val="129"/>
      </rPr>
      <t>원</t>
    </r>
    <r>
      <rPr>
        <sz val="11"/>
        <rFont val="Calibri"/>
        <family val="2"/>
      </rPr>
      <t>)</t>
    </r>
    <phoneticPr fontId="7" type="noConversion"/>
  </si>
  <si>
    <r>
      <t>150</t>
    </r>
    <r>
      <rPr>
        <sz val="11"/>
        <color theme="1"/>
        <rFont val="맑은 고딕"/>
        <family val="3"/>
        <charset val="129"/>
        <scheme val="minor"/>
      </rPr>
      <t>원</t>
    </r>
    <r>
      <rPr>
        <sz val="11"/>
        <color theme="1"/>
        <rFont val="맑은 고딕"/>
        <family val="2"/>
        <scheme val="minor"/>
      </rPr>
      <t>~300</t>
    </r>
    <r>
      <rPr>
        <sz val="11"/>
        <color theme="1"/>
        <rFont val="맑은 고딕"/>
        <family val="3"/>
        <charset val="129"/>
        <scheme val="minor"/>
      </rPr>
      <t>원</t>
    </r>
    <phoneticPr fontId="7" type="noConversion"/>
  </si>
  <si>
    <r>
      <rPr>
        <sz val="11"/>
        <rFont val="돋움"/>
        <family val="3"/>
        <charset val="129"/>
      </rPr>
      <t>목표</t>
    </r>
    <r>
      <rPr>
        <sz val="11"/>
        <rFont val="Calibri"/>
        <family val="2"/>
      </rPr>
      <t xml:space="preserve"> ROAS</t>
    </r>
    <phoneticPr fontId="7" type="noConversion"/>
  </si>
  <si>
    <t>500~700% 안정
(광고 매출 ÷ 광고비) × 100</t>
    <phoneticPr fontId="7" type="noConversion"/>
  </si>
  <si>
    <r>
      <rPr>
        <b/>
        <sz val="18"/>
        <color rgb="FFFFFFFF"/>
        <rFont val="돋움"/>
        <family val="3"/>
        <charset val="129"/>
      </rPr>
      <t>쿠팡로켓</t>
    </r>
    <r>
      <rPr>
        <b/>
        <sz val="18"/>
        <color rgb="FFFFFFFF"/>
        <rFont val="Calibri"/>
        <family val="2"/>
      </rPr>
      <t xml:space="preserve"> </t>
    </r>
    <r>
      <rPr>
        <b/>
        <sz val="18"/>
        <color rgb="FFFFFFFF"/>
        <rFont val="돋움"/>
        <family val="3"/>
        <charset val="129"/>
      </rPr>
      <t>월별</t>
    </r>
    <r>
      <rPr>
        <b/>
        <sz val="18"/>
        <color rgb="FFFFFFFF"/>
        <rFont val="Calibri"/>
        <family val="2"/>
      </rPr>
      <t xml:space="preserve"> </t>
    </r>
    <r>
      <rPr>
        <b/>
        <sz val="18"/>
        <color rgb="FFFFFFFF"/>
        <rFont val="돋움"/>
        <family val="3"/>
        <charset val="129"/>
      </rPr>
      <t>광고</t>
    </r>
    <r>
      <rPr>
        <b/>
        <sz val="18"/>
        <color rgb="FFFFFFFF"/>
        <rFont val="Calibri"/>
        <family val="2"/>
      </rPr>
      <t xml:space="preserve"> </t>
    </r>
    <r>
      <rPr>
        <b/>
        <sz val="18"/>
        <color rgb="FFFFFFFF"/>
        <rFont val="돋움"/>
        <family val="3"/>
        <charset val="129"/>
      </rPr>
      <t>성과</t>
    </r>
    <r>
      <rPr>
        <b/>
        <sz val="18"/>
        <color rgb="FFFFFFFF"/>
        <rFont val="Calibri"/>
        <family val="2"/>
      </rPr>
      <t xml:space="preserve"> </t>
    </r>
    <r>
      <rPr>
        <b/>
        <sz val="18"/>
        <color rgb="FFFFFFFF"/>
        <rFont val="돋움"/>
        <family val="3"/>
        <charset val="129"/>
      </rPr>
      <t>관리</t>
    </r>
    <phoneticPr fontId="7" type="noConversion"/>
  </si>
  <si>
    <t>월</t>
  </si>
  <si>
    <r>
      <t>25</t>
    </r>
    <r>
      <rPr>
        <b/>
        <sz val="11"/>
        <rFont val="돋움"/>
        <family val="3"/>
        <charset val="129"/>
      </rPr>
      <t>년매출</t>
    </r>
    <phoneticPr fontId="7" type="noConversion"/>
  </si>
  <si>
    <r>
      <rPr>
        <b/>
        <sz val="11"/>
        <rFont val="돋움"/>
        <family val="3"/>
        <charset val="129"/>
      </rPr>
      <t>목표매출</t>
    </r>
    <r>
      <rPr>
        <b/>
        <sz val="11"/>
        <rFont val="Calibri"/>
        <family val="2"/>
      </rPr>
      <t/>
    </r>
    <phoneticPr fontId="7" type="noConversion"/>
  </si>
  <si>
    <r>
      <rPr>
        <b/>
        <sz val="11"/>
        <rFont val="돋움"/>
        <family val="3"/>
        <charset val="129"/>
      </rPr>
      <t>실매출</t>
    </r>
    <r>
      <rPr>
        <b/>
        <sz val="11"/>
        <rFont val="Calibri"/>
        <family val="2"/>
      </rPr>
      <t/>
    </r>
    <phoneticPr fontId="7" type="noConversion"/>
  </si>
  <si>
    <t>광고예산(원)</t>
  </si>
  <si>
    <r>
      <rPr>
        <b/>
        <sz val="11"/>
        <rFont val="돋움"/>
        <family val="3"/>
        <charset val="129"/>
      </rPr>
      <t>실제광고비</t>
    </r>
    <r>
      <rPr>
        <b/>
        <sz val="11"/>
        <rFont val="Calibri"/>
        <family val="2"/>
      </rPr>
      <t/>
    </r>
    <phoneticPr fontId="7" type="noConversion"/>
  </si>
  <si>
    <t>노출</t>
  </si>
  <si>
    <t>클릭</t>
  </si>
  <si>
    <t>주문</t>
  </si>
  <si>
    <r>
      <rPr>
        <b/>
        <sz val="11"/>
        <rFont val="돋움"/>
        <family val="3"/>
        <charset val="129"/>
      </rPr>
      <t>광고매출</t>
    </r>
    <r>
      <rPr>
        <b/>
        <sz val="11"/>
        <rFont val="Calibri"/>
        <family val="2"/>
      </rPr>
      <t/>
    </r>
    <phoneticPr fontId="7" type="noConversion"/>
  </si>
  <si>
    <r>
      <t xml:space="preserve">ROAS
</t>
    </r>
    <r>
      <rPr>
        <b/>
        <sz val="11"/>
        <color rgb="FFFF0000"/>
        <rFont val="Calibri"/>
        <family val="2"/>
      </rPr>
      <t xml:space="preserve">500~700%
</t>
    </r>
    <r>
      <rPr>
        <b/>
        <sz val="11"/>
        <color rgb="FFFF0000"/>
        <rFont val="돋움"/>
        <family val="3"/>
        <charset val="129"/>
      </rPr>
      <t>이상</t>
    </r>
    <phoneticPr fontId="7" type="noConversion"/>
  </si>
  <si>
    <r>
      <t xml:space="preserve">ACOS
</t>
    </r>
    <r>
      <rPr>
        <b/>
        <sz val="11"/>
        <color rgb="FFFF0000"/>
        <rFont val="Calibri"/>
        <family val="2"/>
      </rPr>
      <t xml:space="preserve">10~15%
</t>
    </r>
    <r>
      <rPr>
        <b/>
        <sz val="11"/>
        <color rgb="FFFF0000"/>
        <rFont val="돋움"/>
        <family val="3"/>
        <charset val="129"/>
      </rPr>
      <t>이하</t>
    </r>
    <phoneticPr fontId="7" type="noConversion"/>
  </si>
  <si>
    <r>
      <t>CPC(</t>
    </r>
    <r>
      <rPr>
        <b/>
        <sz val="11"/>
        <rFont val="돋움"/>
        <family val="3"/>
        <charset val="129"/>
      </rPr>
      <t>원</t>
    </r>
    <r>
      <rPr>
        <b/>
        <sz val="11"/>
        <rFont val="Calibri"/>
        <family val="2"/>
      </rPr>
      <t xml:space="preserve">)
</t>
    </r>
    <r>
      <rPr>
        <b/>
        <sz val="11"/>
        <color rgb="FFFF0000"/>
        <rFont val="Calibri"/>
        <family val="2"/>
      </rPr>
      <t>150~300</t>
    </r>
    <r>
      <rPr>
        <b/>
        <sz val="11"/>
        <color rgb="FFFF0000"/>
        <rFont val="돋움"/>
        <family val="3"/>
        <charset val="129"/>
      </rPr>
      <t>원</t>
    </r>
    <phoneticPr fontId="7" type="noConversion"/>
  </si>
  <si>
    <r>
      <rPr>
        <b/>
        <sz val="11"/>
        <rFont val="돋움"/>
        <family val="3"/>
        <charset val="129"/>
      </rPr>
      <t>전환율</t>
    </r>
    <r>
      <rPr>
        <b/>
        <sz val="11"/>
        <rFont val="Calibri"/>
        <family val="2"/>
      </rPr>
      <t xml:space="preserve">(CVR)
</t>
    </r>
    <r>
      <rPr>
        <b/>
        <sz val="11"/>
        <color rgb="FFFF0000"/>
        <rFont val="Calibri"/>
        <family val="2"/>
      </rPr>
      <t>5~7%</t>
    </r>
    <r>
      <rPr>
        <b/>
        <sz val="11"/>
        <color rgb="FFFF0000"/>
        <rFont val="돋움"/>
        <family val="3"/>
        <charset val="129"/>
      </rPr>
      <t>이상</t>
    </r>
    <phoneticPr fontId="7" type="noConversion"/>
  </si>
  <si>
    <r>
      <rPr>
        <b/>
        <sz val="11"/>
        <rFont val="돋움"/>
        <family val="3"/>
        <charset val="129"/>
      </rPr>
      <t>클릭율</t>
    </r>
    <r>
      <rPr>
        <b/>
        <sz val="11"/>
        <rFont val="Calibri"/>
        <family val="2"/>
      </rPr>
      <t xml:space="preserve">
(CTR)
</t>
    </r>
    <r>
      <rPr>
        <b/>
        <sz val="11"/>
        <color rgb="FFFF0000"/>
        <rFont val="Calibri"/>
        <family val="2"/>
      </rPr>
      <t xml:space="preserve">0.7% </t>
    </r>
    <r>
      <rPr>
        <b/>
        <sz val="11"/>
        <color rgb="FFFF0000"/>
        <rFont val="돋움"/>
        <family val="3"/>
        <charset val="129"/>
      </rPr>
      <t>이상</t>
    </r>
    <phoneticPr fontId="7" type="noConversion"/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</si>
  <si>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</si>
  <si>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</si>
  <si>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</si>
  <si>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</si>
  <si>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</si>
  <si>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</si>
  <si>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</si>
  <si>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</si>
  <si>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</si>
  <si>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 xml:space="preserve">                         </t>
    <phoneticPr fontId="7" type="noConversion"/>
  </si>
  <si>
    <t>10월</t>
  </si>
  <si>
    <t>11월</t>
  </si>
  <si>
    <t>12월</t>
  </si>
  <si>
    <t>합계</t>
  </si>
  <si>
    <t>2</t>
  </si>
  <si>
    <t>15000투샷빅파워물총</t>
    <phoneticPr fontId="7" type="noConversion"/>
  </si>
  <si>
    <t>색칠하는에어글라이더</t>
    <phoneticPr fontId="7" type="noConversion"/>
  </si>
  <si>
    <t>3000잔디인형키우기(곰돌이)</t>
    <phoneticPr fontId="7" type="noConversion"/>
  </si>
  <si>
    <t>4500전통낚시대연날리기(쿠팡용)</t>
    <phoneticPr fontId="7" type="noConversion"/>
  </si>
  <si>
    <t>상품별광고 연결</t>
    <phoneticPr fontId="7" type="noConversion"/>
  </si>
  <si>
    <t>핵심상품 관리</t>
    <phoneticPr fontId="7" type="noConversion"/>
  </si>
  <si>
    <t>상품별손익표</t>
    <phoneticPr fontId="7" type="noConversion"/>
  </si>
  <si>
    <t>광고비 30프로 줄이기</t>
    <phoneticPr fontId="7" type="noConversion"/>
  </si>
  <si>
    <t>이익 중심 아님</t>
  </si>
  <si>
    <t>광고 통제 약함</t>
  </si>
  <si>
    <t>재고 판단 기준 부족</t>
  </si>
  <si>
    <t>순이익 3% 이하 → 정리</t>
  </si>
  <si>
    <t>광고비 15% 이상 → 점검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</si>
</sst>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176" formatCode="0.0%"/>
    <numFmt numFmtId="177" formatCode="0.0"/>
    <numFmt numFmtId="178" formatCode="&quot;₩&quot;#,##0"/>
  </numFmts>
  <fonts count="31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b/>
      <sz val="16"/>
      <name val="맑은 고딕"/>
      <family val="3"/>
      <charset val="129"/>
    </font>
    <font>
      <sz val="11"/>
      <color rgb="FF666666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5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rgb="FFFFFFFF"/>
      <name val="돋움"/>
      <family val="3"/>
      <charset val="129"/>
    </font>
    <font>
      <b/>
      <sz val="12"/>
      <color rgb="FFFFFFFF"/>
      <name val="Calibri"/>
      <family val="2"/>
    </font>
    <font>
      <sz val="11"/>
      <name val="돋움"/>
      <family val="3"/>
      <charset val="129"/>
    </font>
    <font>
      <sz val="11"/>
      <color rgb="FF0000FF"/>
      <name val="Calibri"/>
      <family val="2"/>
    </font>
    <font>
      <sz val="11"/>
      <name val="Calibri"/>
      <family val="3"/>
      <charset val="129"/>
    </font>
    <font>
      <sz val="11"/>
      <name val="Calibri"/>
      <family val="2"/>
    </font>
    <font>
      <sz val="11"/>
      <color theme="1"/>
      <name val="맑은 고딕"/>
      <family val="3"/>
      <charset val="129"/>
      <scheme val="minor"/>
    </font>
    <font>
      <sz val="10"/>
      <color rgb="FF666666"/>
      <name val="돋움"/>
      <family val="3"/>
      <charset val="129"/>
    </font>
    <font>
      <b/>
      <sz val="18"/>
      <color rgb="FFFFFFFF"/>
      <name val="Calibri"/>
      <family val="3"/>
      <charset val="129"/>
    </font>
    <font>
      <b/>
      <sz val="18"/>
      <color rgb="FFFFFFFF"/>
      <name val="돋움"/>
      <family val="3"/>
      <charset val="129"/>
    </font>
    <font>
      <b/>
      <sz val="18"/>
      <color rgb="FFFFFFFF"/>
      <name val="Calibri"/>
      <family val="2"/>
    </font>
    <font>
      <b/>
      <sz val="11"/>
      <name val="Calibri"/>
      <family val="2"/>
    </font>
    <font>
      <b/>
      <sz val="11"/>
      <name val="돋움"/>
      <family val="3"/>
      <charset val="129"/>
    </font>
    <font>
      <b/>
      <sz val="11"/>
      <name val="Calibri"/>
      <family val="3"/>
      <charset val="129"/>
    </font>
    <font>
      <b/>
      <sz val="11"/>
      <color rgb="FFFF0000"/>
      <name val="Calibri"/>
      <family val="2"/>
    </font>
    <font>
      <b/>
      <sz val="11"/>
      <color rgb="FFFF0000"/>
      <name val="돋움"/>
      <family val="3"/>
      <charset val="129"/>
    </font>
    <font>
      <sz val="11"/>
      <color rgb="FFFF0000"/>
      <name val="Calibri"/>
      <family val="2"/>
    </font>
    <font>
      <sz val="11"/>
      <color indexed="8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8F1FA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0B2F4A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/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30" fillId="0" borderId="0">
      <alignment vertical="center"/>
    </xf>
  </cellStyleXfs>
  <cellXfs count="71">
    <xf numFmtId="0" fontId="0" fillId="0" borderId="0" xfId="0"/>
    <xf numFmtId="0" fontId="9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76" fontId="0" fillId="3" borderId="0" xfId="0" applyNumberFormat="1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3" fontId="8" fillId="0" borderId="8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3" fontId="8" fillId="0" borderId="13" xfId="0" applyNumberFormat="1" applyFont="1" applyBorder="1" applyAlignment="1">
      <alignment horizontal="center" vertical="center"/>
    </xf>
    <xf numFmtId="176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3" fontId="8" fillId="0" borderId="15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3" fontId="8" fillId="0" borderId="17" xfId="0" applyNumberFormat="1" applyFont="1" applyBorder="1" applyAlignment="1">
      <alignment horizontal="center" vertical="center"/>
    </xf>
    <xf numFmtId="0" fontId="12" fillId="0" borderId="0" xfId="2"/>
    <xf numFmtId="0" fontId="15" fillId="0" borderId="18" xfId="1" applyFont="1" applyBorder="1" applyAlignment="1">
      <alignment horizontal="center" vertical="center" wrapText="1"/>
    </xf>
    <xf numFmtId="178" fontId="16" fillId="7" borderId="18" xfId="1" applyNumberFormat="1" applyFont="1" applyFill="1" applyBorder="1" applyAlignment="1">
      <alignment horizontal="right" vertical="center"/>
    </xf>
    <xf numFmtId="0" fontId="17" fillId="0" borderId="18" xfId="1" applyFont="1" applyBorder="1" applyAlignment="1">
      <alignment horizontal="center" vertical="center" wrapText="1"/>
    </xf>
    <xf numFmtId="178" fontId="18" fillId="0" borderId="18" xfId="1" applyNumberFormat="1" applyFont="1" applyBorder="1" applyAlignment="1">
      <alignment horizontal="right" vertical="center"/>
    </xf>
    <xf numFmtId="176" fontId="16" fillId="7" borderId="18" xfId="1" applyNumberFormat="1" applyFont="1" applyFill="1" applyBorder="1" applyAlignment="1">
      <alignment horizontal="right" vertical="center"/>
    </xf>
    <xf numFmtId="0" fontId="17" fillId="0" borderId="18" xfId="1" applyFont="1" applyBorder="1" applyAlignment="1">
      <alignment horizontal="left" vertical="center" wrapText="1"/>
    </xf>
    <xf numFmtId="0" fontId="12" fillId="0" borderId="18" xfId="2" applyBorder="1"/>
    <xf numFmtId="0" fontId="12" fillId="0" borderId="18" xfId="2" applyBorder="1" applyAlignment="1">
      <alignment horizontal="center" vertical="center"/>
    </xf>
    <xf numFmtId="0" fontId="24" fillId="6" borderId="19" xfId="1" applyFont="1" applyFill="1" applyBorder="1" applyAlignment="1">
      <alignment horizontal="center" vertical="center" wrapText="1"/>
    </xf>
    <xf numFmtId="0" fontId="26" fillId="6" borderId="19" xfId="1" applyFont="1" applyFill="1" applyBorder="1" applyAlignment="1">
      <alignment horizontal="center" vertical="center" wrapText="1"/>
    </xf>
    <xf numFmtId="0" fontId="18" fillId="0" borderId="19" xfId="1" applyFont="1" applyBorder="1" applyAlignment="1">
      <alignment horizontal="center" vertical="center" wrapText="1"/>
    </xf>
    <xf numFmtId="42" fontId="18" fillId="0" borderId="19" xfId="1" applyNumberFormat="1" applyFont="1" applyBorder="1" applyAlignment="1">
      <alignment horizontal="center" vertical="center" wrapText="1"/>
    </xf>
    <xf numFmtId="178" fontId="29" fillId="0" borderId="19" xfId="1" applyNumberFormat="1" applyFont="1" applyBorder="1" applyAlignment="1">
      <alignment horizontal="right" vertical="center"/>
    </xf>
    <xf numFmtId="178" fontId="16" fillId="7" borderId="19" xfId="1" applyNumberFormat="1" applyFont="1" applyFill="1" applyBorder="1" applyAlignment="1">
      <alignment horizontal="right" vertical="center"/>
    </xf>
    <xf numFmtId="178" fontId="18" fillId="0" borderId="19" xfId="1" applyNumberFormat="1" applyFont="1" applyBorder="1" applyAlignment="1">
      <alignment horizontal="right" vertical="center"/>
    </xf>
    <xf numFmtId="3" fontId="16" fillId="7" borderId="19" xfId="1" applyNumberFormat="1" applyFont="1" applyFill="1" applyBorder="1" applyAlignment="1">
      <alignment horizontal="right" vertical="center"/>
    </xf>
    <xf numFmtId="176" fontId="18" fillId="0" borderId="19" xfId="1" applyNumberFormat="1" applyFont="1" applyBorder="1" applyAlignment="1">
      <alignment horizontal="right" vertical="center"/>
    </xf>
    <xf numFmtId="176" fontId="29" fillId="0" borderId="19" xfId="1" applyNumberFormat="1" applyFont="1" applyBorder="1" applyAlignment="1">
      <alignment horizontal="right" vertical="center"/>
    </xf>
    <xf numFmtId="178" fontId="24" fillId="6" borderId="19" xfId="1" applyNumberFormat="1" applyFont="1" applyFill="1" applyBorder="1" applyAlignment="1">
      <alignment horizontal="right" vertical="center"/>
    </xf>
    <xf numFmtId="3" fontId="24" fillId="6" borderId="19" xfId="1" applyNumberFormat="1" applyFont="1" applyFill="1" applyBorder="1" applyAlignment="1">
      <alignment horizontal="right" vertical="center"/>
    </xf>
    <xf numFmtId="176" fontId="24" fillId="6" borderId="19" xfId="1" applyNumberFormat="1" applyFont="1" applyFill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left" vertical="center"/>
    </xf>
    <xf numFmtId="0" fontId="0" fillId="0" borderId="2" xfId="0" applyBorder="1"/>
    <xf numFmtId="176" fontId="6" fillId="3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wrapText="1"/>
    </xf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177" fontId="6" fillId="3" borderId="1" xfId="0" applyNumberFormat="1" applyFont="1" applyFill="1" applyBorder="1" applyAlignment="1">
      <alignment horizontal="left" vertical="center"/>
    </xf>
    <xf numFmtId="0" fontId="3" fillId="0" borderId="0" xfId="0" applyFont="1"/>
    <xf numFmtId="0" fontId="13" fillId="4" borderId="0" xfId="1" applyFont="1" applyFill="1" applyAlignment="1">
      <alignment horizontal="center" vertical="center" wrapText="1"/>
    </xf>
    <xf numFmtId="0" fontId="14" fillId="4" borderId="0" xfId="1" applyFont="1" applyFill="1" applyAlignment="1">
      <alignment horizontal="center" vertical="center" wrapText="1"/>
    </xf>
    <xf numFmtId="0" fontId="20" fillId="0" borderId="18" xfId="1" applyFont="1" applyBorder="1" applyAlignment="1">
      <alignment horizontal="center" vertical="center" wrapText="1"/>
    </xf>
    <xf numFmtId="0" fontId="21" fillId="4" borderId="0" xfId="1" applyFont="1" applyFill="1" applyAlignment="1">
      <alignment horizontal="center" vertical="center" wrapText="1"/>
    </xf>
    <xf numFmtId="0" fontId="1" fillId="0" borderId="0" xfId="0" applyFont="1"/>
  </cellXfs>
  <cellStyles count="4">
    <cellStyle name="Normal" xfId="1"/>
    <cellStyle name="표준" xfId="0" builtinId="0"/>
    <cellStyle name="표준 10" xfId="2"/>
    <cellStyle name="표준 2" xfId="3"/>
  </cellStyles>
  <dxfs count="4"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3" topLeftCell="A4" activePane="bottomLeft" state="frozen"/>
      <selection pane="bottomLeft" activeCell="C14" sqref="C14:D14"/>
    </sheetView>
  </sheetViews>
  <sheetFormatPr defaultRowHeight="17.399999999999999" x14ac:dyDescent="0.4"/>
  <cols>
    <col min="1" max="1" width="12.69921875" bestFit="1" customWidth="1"/>
    <col min="2" max="4" width="18" customWidth="1"/>
  </cols>
  <sheetData>
    <row r="1" spans="1:4" ht="27.9" customHeight="1" x14ac:dyDescent="0.55000000000000004">
      <c r="A1" s="65" t="s">
        <v>0</v>
      </c>
      <c r="B1" s="62"/>
      <c r="C1" s="62"/>
      <c r="D1" s="62"/>
    </row>
    <row r="2" spans="1:4" ht="20.100000000000001" customHeight="1" x14ac:dyDescent="0.4">
      <c r="A2" s="61" t="s">
        <v>1</v>
      </c>
      <c r="B2" s="62"/>
      <c r="C2" s="62"/>
      <c r="D2" s="62"/>
    </row>
    <row r="4" spans="1:4" ht="19.2" x14ac:dyDescent="0.4">
      <c r="A4" s="63" t="s">
        <v>2</v>
      </c>
      <c r="B4" s="59"/>
      <c r="C4" s="63" t="s">
        <v>3</v>
      </c>
      <c r="D4" s="59"/>
    </row>
    <row r="5" spans="1:4" ht="24" x14ac:dyDescent="0.4">
      <c r="A5" s="58">
        <f>COUNTA(상품리스트!$C$2:$C$143)</f>
        <v>142</v>
      </c>
      <c r="B5" s="59"/>
      <c r="C5" s="58" t="e">
        <f>COUNTIF(상품리스트!#REF!,"판매중")</f>
        <v>#REF!</v>
      </c>
      <c r="D5" s="59"/>
    </row>
    <row r="7" spans="1:4" ht="19.2" x14ac:dyDescent="0.4">
      <c r="A7" s="63" t="s">
        <v>4</v>
      </c>
      <c r="B7" s="59"/>
      <c r="C7" s="63" t="s">
        <v>5</v>
      </c>
      <c r="D7" s="59"/>
    </row>
    <row r="8" spans="1:4" ht="24" x14ac:dyDescent="0.4">
      <c r="A8" s="58">
        <f>COUNTIF(상품리스트!$R$2:$R$143,"⚠ 부족")</f>
        <v>20</v>
      </c>
      <c r="B8" s="59"/>
      <c r="C8" s="58">
        <f>SUMIF(상품리스트!$R$2:$R$143,"⚠ 부족",상품리스트!$Q$2:$Q$143)</f>
        <v>25355</v>
      </c>
      <c r="D8" s="59"/>
    </row>
    <row r="10" spans="1:4" ht="19.2" x14ac:dyDescent="0.4">
      <c r="A10" s="63" t="s">
        <v>6</v>
      </c>
      <c r="B10" s="59"/>
      <c r="C10" s="63" t="s">
        <v>7</v>
      </c>
      <c r="D10" s="59"/>
    </row>
    <row r="11" spans="1:4" ht="24" x14ac:dyDescent="0.4">
      <c r="A11" s="58">
        <f>SUM(상품리스트!$O$2:$O$143)</f>
        <v>75490</v>
      </c>
      <c r="B11" s="59"/>
      <c r="C11" s="58">
        <f>SUMPRODUCT(상품리스트!$O$2:$O$143,상품리스트!$D$2:$D$143)</f>
        <v>81952932.833333313</v>
      </c>
      <c r="D11" s="59"/>
    </row>
    <row r="13" spans="1:4" ht="19.2" x14ac:dyDescent="0.4">
      <c r="A13" s="63" t="s">
        <v>8</v>
      </c>
      <c r="B13" s="59"/>
      <c r="C13" s="63" t="s">
        <v>9</v>
      </c>
      <c r="D13" s="59"/>
    </row>
    <row r="14" spans="1:4" ht="24" x14ac:dyDescent="0.4">
      <c r="A14" s="60" t="e">
        <f>AVERAGEIF(상품리스트!#REF!,"판매중",상품리스트!$H$2:$H$143)</f>
        <v>#REF!</v>
      </c>
      <c r="B14" s="59"/>
      <c r="C14" s="64">
        <f>IF(SUM(상품리스트!$O$2:$O$143)=0,"-",SUM(상품리스트!$K$2:$K$143)/(SUM(상품리스트!$O$2:$O$143)/30))</f>
        <v>121.94370115247052</v>
      </c>
      <c r="D14" s="59"/>
    </row>
  </sheetData>
  <mergeCells count="18">
    <mergeCell ref="C7:D7"/>
    <mergeCell ref="A1:D1"/>
    <mergeCell ref="C11:D11"/>
    <mergeCell ref="A14:B14"/>
    <mergeCell ref="C8:D8"/>
    <mergeCell ref="A2:D2"/>
    <mergeCell ref="C4:D4"/>
    <mergeCell ref="A7:B7"/>
    <mergeCell ref="C10:D10"/>
    <mergeCell ref="C13:D13"/>
    <mergeCell ref="A10:B10"/>
    <mergeCell ref="A13:B13"/>
    <mergeCell ref="A11:B11"/>
    <mergeCell ref="C5:D5"/>
    <mergeCell ref="C14:D14"/>
    <mergeCell ref="A5:B5"/>
    <mergeCell ref="A8:B8"/>
    <mergeCell ref="A4:B4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4"/>
  <sheetViews>
    <sheetView workbookViewId="0">
      <pane ySplit="1" topLeftCell="A143" activePane="bottomLeft" state="frozen"/>
      <selection pane="bottomLeft" activeCell="M153" sqref="M153"/>
    </sheetView>
  </sheetViews>
  <sheetFormatPr defaultColWidth="9" defaultRowHeight="15.6" x14ac:dyDescent="0.4"/>
  <cols>
    <col min="1" max="1" width="15.5" style="1" customWidth="1"/>
    <col min="2" max="2" width="8.69921875" style="1" bestFit="1" customWidth="1"/>
    <col min="3" max="3" width="33.19921875" style="1" bestFit="1" customWidth="1"/>
    <col min="4" max="7" width="12" style="1" hidden="1" customWidth="1"/>
    <col min="8" max="8" width="7.69921875" style="1" customWidth="1"/>
    <col min="9" max="10" width="10" style="1" customWidth="1"/>
    <col min="11" max="11" width="10" style="1" hidden="1" customWidth="1"/>
    <col min="12" max="14" width="8.59765625" style="1" customWidth="1"/>
    <col min="15" max="15" width="12" style="1" customWidth="1"/>
    <col min="16" max="18" width="10" style="1" customWidth="1"/>
    <col min="19" max="19" width="9.8984375" style="1" customWidth="1"/>
    <col min="20" max="21" width="10" style="1" customWidth="1"/>
    <col min="22" max="22" width="10" style="1" hidden="1" customWidth="1"/>
    <col min="23" max="23" width="22" style="1" customWidth="1"/>
    <col min="24" max="16384" width="9" style="1"/>
  </cols>
  <sheetData>
    <row r="1" spans="1:23" s="7" customFormat="1" ht="33.9" customHeight="1" thickBot="1" x14ac:dyDescent="0.45">
      <c r="A1" s="8" t="s">
        <v>21</v>
      </c>
      <c r="B1" s="14" t="s">
        <v>148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29</v>
      </c>
      <c r="K1" s="14" t="s">
        <v>30</v>
      </c>
      <c r="L1" s="14" t="s">
        <v>149</v>
      </c>
      <c r="M1" s="14" t="s">
        <v>150</v>
      </c>
      <c r="N1" s="14" t="s">
        <v>155</v>
      </c>
      <c r="O1" s="14" t="s">
        <v>31</v>
      </c>
      <c r="P1" s="14" t="s">
        <v>32</v>
      </c>
      <c r="Q1" s="14" t="s">
        <v>33</v>
      </c>
      <c r="R1" s="14" t="s">
        <v>34</v>
      </c>
      <c r="S1" s="14" t="s">
        <v>35</v>
      </c>
      <c r="T1" s="14" t="s">
        <v>36</v>
      </c>
      <c r="U1" s="14" t="s">
        <v>37</v>
      </c>
      <c r="V1" s="14" t="s">
        <v>179</v>
      </c>
      <c r="W1" s="14" t="s">
        <v>38</v>
      </c>
    </row>
    <row r="2" spans="1:23" ht="20.100000000000001" customHeight="1" x14ac:dyDescent="0.4">
      <c r="A2" s="9" t="s">
        <v>39</v>
      </c>
      <c r="B2" s="19" t="s">
        <v>162</v>
      </c>
      <c r="C2" s="20" t="s">
        <v>40</v>
      </c>
      <c r="D2" s="21">
        <v>9600</v>
      </c>
      <c r="E2" s="21">
        <v>7000</v>
      </c>
      <c r="F2" s="21">
        <f>N(E2)*(1+설정!$B$3)</f>
        <v>7909.9999999999991</v>
      </c>
      <c r="G2" s="21">
        <f t="shared" ref="G2:G33" si="0">N(D2)-F2</f>
        <v>1690.0000000000009</v>
      </c>
      <c r="H2" s="22">
        <f t="shared" ref="H2:H33" si="1">IF(N(D2)=0,"-",G2/N(D2))</f>
        <v>0.17604166666666676</v>
      </c>
      <c r="I2" s="21">
        <v>2043</v>
      </c>
      <c r="J2" s="21"/>
      <c r="K2" s="21">
        <f t="shared" ref="K2:K33" si="2">N(I2)+N(J2)</f>
        <v>2043</v>
      </c>
      <c r="L2" s="21">
        <v>1584</v>
      </c>
      <c r="M2" s="21">
        <v>456</v>
      </c>
      <c r="N2" s="21">
        <v>360</v>
      </c>
      <c r="O2" s="21">
        <f t="shared" ref="O2:O33" si="3">IF(COUNT(L2,M2,N2)=0,0,AVERAGE(L2,M2,N2))</f>
        <v>800</v>
      </c>
      <c r="P2" s="21">
        <f>ROUND(O2*설정!$B$5,0)</f>
        <v>960</v>
      </c>
      <c r="Q2" s="21">
        <f t="shared" ref="Q2:Q33" si="4">MAX(0,N(P2)-N(K2))</f>
        <v>0</v>
      </c>
      <c r="R2" s="23" t="str">
        <f t="shared" ref="R2:R33" si="5">IF(N(K2)&lt;N(P2),"⚠ 부족","OK")</f>
        <v>OK</v>
      </c>
      <c r="S2" s="21">
        <f t="shared" ref="S2:S33" si="6">IF(O2=0,"-",K2/(O2/30))</f>
        <v>76.612499999999997</v>
      </c>
      <c r="T2" s="21">
        <f>MAX(0,ROUND(N(P2)*설정!$B$4-N(K2),0))</f>
        <v>0</v>
      </c>
      <c r="U2" s="21">
        <v>2964</v>
      </c>
      <c r="V2" s="33"/>
      <c r="W2" s="24"/>
    </row>
    <row r="3" spans="1:23" ht="20.100000000000001" customHeight="1" x14ac:dyDescent="0.4">
      <c r="A3" s="9" t="s">
        <v>39</v>
      </c>
      <c r="B3" s="25" t="s">
        <v>162</v>
      </c>
      <c r="C3" s="11" t="s">
        <v>153</v>
      </c>
      <c r="D3" s="12">
        <v>4660</v>
      </c>
      <c r="E3" s="12">
        <v>3100</v>
      </c>
      <c r="F3" s="12">
        <f>N(E3)*(1+설정!$B$3)</f>
        <v>3502.9999999999995</v>
      </c>
      <c r="G3" s="12">
        <f t="shared" si="0"/>
        <v>1157.0000000000005</v>
      </c>
      <c r="H3" s="13">
        <f t="shared" si="1"/>
        <v>0.24828326180257521</v>
      </c>
      <c r="I3" s="12">
        <v>949</v>
      </c>
      <c r="J3" s="12"/>
      <c r="K3" s="12">
        <f t="shared" si="2"/>
        <v>949</v>
      </c>
      <c r="L3" s="12">
        <v>264</v>
      </c>
      <c r="M3" s="12">
        <v>48</v>
      </c>
      <c r="N3" s="12">
        <v>1272</v>
      </c>
      <c r="O3" s="12">
        <f t="shared" si="3"/>
        <v>528</v>
      </c>
      <c r="P3" s="12">
        <f>ROUND(O3*설정!$B$5,0)</f>
        <v>634</v>
      </c>
      <c r="Q3" s="12">
        <f t="shared" si="4"/>
        <v>0</v>
      </c>
      <c r="R3" s="10" t="str">
        <f t="shared" si="5"/>
        <v>OK</v>
      </c>
      <c r="S3" s="12">
        <f t="shared" si="6"/>
        <v>53.92045454545454</v>
      </c>
      <c r="T3" s="12">
        <f>MAX(0,ROUND(N(P3)*설정!$B$4-N(K3),0))</f>
        <v>319</v>
      </c>
      <c r="U3" s="12">
        <v>665</v>
      </c>
      <c r="V3" s="34"/>
      <c r="W3" s="26"/>
    </row>
    <row r="4" spans="1:23" ht="20.100000000000001" customHeight="1" x14ac:dyDescent="0.4">
      <c r="A4" s="9" t="s">
        <v>39</v>
      </c>
      <c r="B4" s="25" t="s">
        <v>162</v>
      </c>
      <c r="C4" s="11" t="s">
        <v>151</v>
      </c>
      <c r="D4" s="12">
        <v>612</v>
      </c>
      <c r="E4" s="12">
        <v>465</v>
      </c>
      <c r="F4" s="12">
        <f>N(E4)*(1+설정!$B$3)</f>
        <v>525.44999999999993</v>
      </c>
      <c r="G4" s="12">
        <f t="shared" si="0"/>
        <v>86.550000000000068</v>
      </c>
      <c r="H4" s="13">
        <f t="shared" si="1"/>
        <v>0.14142156862745109</v>
      </c>
      <c r="I4" s="12">
        <v>12902</v>
      </c>
      <c r="J4" s="12"/>
      <c r="K4" s="12">
        <f t="shared" si="2"/>
        <v>12902</v>
      </c>
      <c r="L4" s="12">
        <v>9000</v>
      </c>
      <c r="M4" s="12">
        <v>0</v>
      </c>
      <c r="N4" s="12">
        <v>8640</v>
      </c>
      <c r="O4" s="12">
        <f t="shared" si="3"/>
        <v>5880</v>
      </c>
      <c r="P4" s="12">
        <f>ROUND(O4*설정!$B$5,0)</f>
        <v>7056</v>
      </c>
      <c r="Q4" s="12">
        <f t="shared" si="4"/>
        <v>0</v>
      </c>
      <c r="R4" s="10" t="str">
        <f t="shared" si="5"/>
        <v>OK</v>
      </c>
      <c r="S4" s="12">
        <f t="shared" si="6"/>
        <v>65.826530612244895</v>
      </c>
      <c r="T4" s="12">
        <f>MAX(0,ROUND(N(P4)*설정!$B$4-N(K4),0))</f>
        <v>1210</v>
      </c>
      <c r="U4" s="12">
        <v>218</v>
      </c>
      <c r="V4" s="34"/>
      <c r="W4" s="26"/>
    </row>
    <row r="5" spans="1:23" ht="20.100000000000001" customHeight="1" x14ac:dyDescent="0.4">
      <c r="A5" s="9" t="s">
        <v>39</v>
      </c>
      <c r="B5" s="25" t="s">
        <v>162</v>
      </c>
      <c r="C5" s="11" t="s">
        <v>161</v>
      </c>
      <c r="D5" s="12">
        <v>1365</v>
      </c>
      <c r="E5" s="12">
        <v>1120</v>
      </c>
      <c r="F5" s="12">
        <f>N(E5)*(1+설정!$B$3)</f>
        <v>1265.5999999999999</v>
      </c>
      <c r="G5" s="12">
        <f t="shared" si="0"/>
        <v>99.400000000000091</v>
      </c>
      <c r="H5" s="13">
        <f t="shared" si="1"/>
        <v>7.2820512820512884E-2</v>
      </c>
      <c r="I5" s="12">
        <v>4440</v>
      </c>
      <c r="J5" s="12"/>
      <c r="K5" s="12">
        <f t="shared" si="2"/>
        <v>4440</v>
      </c>
      <c r="L5" s="12">
        <v>6000</v>
      </c>
      <c r="M5" s="12">
        <v>3840</v>
      </c>
      <c r="N5" s="12">
        <v>60</v>
      </c>
      <c r="O5" s="12">
        <f t="shared" si="3"/>
        <v>3300</v>
      </c>
      <c r="P5" s="12">
        <f>ROUND(O5*설정!$B$5,0)</f>
        <v>3960</v>
      </c>
      <c r="Q5" s="12">
        <f t="shared" si="4"/>
        <v>0</v>
      </c>
      <c r="R5" s="10" t="str">
        <f t="shared" si="5"/>
        <v>OK</v>
      </c>
      <c r="S5" s="12">
        <f t="shared" si="6"/>
        <v>40.363636363636367</v>
      </c>
      <c r="T5" s="12">
        <f>MAX(0,ROUND(N(P5)*설정!$B$4-N(K5),0))</f>
        <v>3480</v>
      </c>
      <c r="U5" s="12">
        <v>267</v>
      </c>
      <c r="V5" s="34"/>
      <c r="W5" s="26"/>
    </row>
    <row r="6" spans="1:23" ht="20.100000000000001" customHeight="1" x14ac:dyDescent="0.4">
      <c r="A6" s="9" t="s">
        <v>39</v>
      </c>
      <c r="B6" s="25" t="s">
        <v>162</v>
      </c>
      <c r="C6" s="11" t="s">
        <v>152</v>
      </c>
      <c r="D6" s="12">
        <v>875</v>
      </c>
      <c r="E6" s="12">
        <v>550</v>
      </c>
      <c r="F6" s="12">
        <f>N(E6)*(1+설정!$B$3)</f>
        <v>621.49999999999989</v>
      </c>
      <c r="G6" s="12">
        <f t="shared" si="0"/>
        <v>253.50000000000011</v>
      </c>
      <c r="H6" s="13">
        <f t="shared" si="1"/>
        <v>0.28971428571428587</v>
      </c>
      <c r="I6" s="12">
        <v>415</v>
      </c>
      <c r="J6" s="12">
        <v>24000</v>
      </c>
      <c r="K6" s="12">
        <f t="shared" si="2"/>
        <v>24415</v>
      </c>
      <c r="L6" s="12">
        <v>17280</v>
      </c>
      <c r="M6" s="12">
        <v>13800</v>
      </c>
      <c r="N6" s="12">
        <v>240</v>
      </c>
      <c r="O6" s="12">
        <f t="shared" si="3"/>
        <v>10440</v>
      </c>
      <c r="P6" s="12">
        <f>ROUND(O6*설정!$B$5,0)</f>
        <v>12528</v>
      </c>
      <c r="Q6" s="12">
        <f t="shared" si="4"/>
        <v>0</v>
      </c>
      <c r="R6" s="10" t="str">
        <f t="shared" si="5"/>
        <v>OK</v>
      </c>
      <c r="S6" s="12">
        <f t="shared" si="6"/>
        <v>70.158045977011497</v>
      </c>
      <c r="T6" s="12">
        <f>MAX(0,ROUND(N(P6)*설정!$B$4-N(K6),0))</f>
        <v>641</v>
      </c>
      <c r="U6" s="12">
        <v>225</v>
      </c>
      <c r="V6" s="34"/>
      <c r="W6" s="26"/>
    </row>
    <row r="7" spans="1:23" ht="20.100000000000001" customHeight="1" x14ac:dyDescent="0.4">
      <c r="A7" s="9" t="s">
        <v>39</v>
      </c>
      <c r="B7" s="25" t="s">
        <v>162</v>
      </c>
      <c r="C7" s="11" t="s">
        <v>41</v>
      </c>
      <c r="D7" s="12">
        <v>478</v>
      </c>
      <c r="E7" s="12">
        <v>350</v>
      </c>
      <c r="F7" s="12">
        <f>N(E7)*(1+설정!$B$3)</f>
        <v>395.49999999999994</v>
      </c>
      <c r="G7" s="12">
        <f t="shared" si="0"/>
        <v>82.500000000000057</v>
      </c>
      <c r="H7" s="13">
        <f t="shared" si="1"/>
        <v>0.17259414225941436</v>
      </c>
      <c r="I7" s="12">
        <v>14688</v>
      </c>
      <c r="J7" s="12"/>
      <c r="K7" s="12">
        <f t="shared" si="2"/>
        <v>14688</v>
      </c>
      <c r="L7" s="12">
        <v>972</v>
      </c>
      <c r="M7" s="12">
        <v>648</v>
      </c>
      <c r="N7" s="12">
        <v>8424</v>
      </c>
      <c r="O7" s="12">
        <f t="shared" si="3"/>
        <v>3348</v>
      </c>
      <c r="P7" s="12">
        <f>ROUND(O7*설정!$B$5,0)</f>
        <v>4018</v>
      </c>
      <c r="Q7" s="12">
        <f t="shared" si="4"/>
        <v>0</v>
      </c>
      <c r="R7" s="10" t="str">
        <f t="shared" si="5"/>
        <v>OK</v>
      </c>
      <c r="S7" s="12">
        <f t="shared" si="6"/>
        <v>131.61290322580646</v>
      </c>
      <c r="T7" s="12">
        <f>MAX(0,ROUND(N(P7)*설정!$B$4-N(K7),0))</f>
        <v>0</v>
      </c>
      <c r="U7" s="12">
        <v>179</v>
      </c>
      <c r="V7" s="34"/>
      <c r="W7" s="26"/>
    </row>
    <row r="8" spans="1:23" ht="20.100000000000001" customHeight="1" x14ac:dyDescent="0.4">
      <c r="A8" s="9" t="s">
        <v>39</v>
      </c>
      <c r="B8" s="25" t="s">
        <v>162</v>
      </c>
      <c r="C8" s="11" t="s">
        <v>42</v>
      </c>
      <c r="D8" s="12">
        <v>3280</v>
      </c>
      <c r="E8" s="12">
        <v>2750</v>
      </c>
      <c r="F8" s="12">
        <f>N(E8)*(1+설정!$B$3)</f>
        <v>3107.4999999999995</v>
      </c>
      <c r="G8" s="12">
        <f t="shared" si="0"/>
        <v>172.50000000000045</v>
      </c>
      <c r="H8" s="13">
        <f t="shared" si="1"/>
        <v>5.2591463414634283E-2</v>
      </c>
      <c r="I8" s="12">
        <v>2702</v>
      </c>
      <c r="J8" s="12"/>
      <c r="K8" s="12">
        <f t="shared" si="2"/>
        <v>2702</v>
      </c>
      <c r="L8" s="12">
        <v>2702</v>
      </c>
      <c r="M8" s="12">
        <v>0</v>
      </c>
      <c r="N8" s="12">
        <v>224</v>
      </c>
      <c r="O8" s="12">
        <f t="shared" si="3"/>
        <v>975.33333333333337</v>
      </c>
      <c r="P8" s="12">
        <f>ROUND(O8*설정!$B$5,0)</f>
        <v>1170</v>
      </c>
      <c r="Q8" s="12">
        <f t="shared" si="4"/>
        <v>0</v>
      </c>
      <c r="R8" s="10" t="str">
        <f t="shared" si="5"/>
        <v>OK</v>
      </c>
      <c r="S8" s="12">
        <f t="shared" si="6"/>
        <v>83.110047846889941</v>
      </c>
      <c r="T8" s="12">
        <f>MAX(0,ROUND(N(P8)*설정!$B$4-N(K8),0))</f>
        <v>0</v>
      </c>
      <c r="U8" s="12">
        <v>2877</v>
      </c>
      <c r="V8" s="34"/>
      <c r="W8" s="26"/>
    </row>
    <row r="9" spans="1:23" ht="20.100000000000001" customHeight="1" x14ac:dyDescent="0.4">
      <c r="A9" s="9" t="s">
        <v>39</v>
      </c>
      <c r="B9" s="25" t="s">
        <v>162</v>
      </c>
      <c r="C9" s="11" t="s">
        <v>231</v>
      </c>
      <c r="D9" s="12">
        <v>6650</v>
      </c>
      <c r="E9" s="12">
        <v>3800</v>
      </c>
      <c r="F9" s="12">
        <f>N(E9)*(1+설정!$B$3)</f>
        <v>4294</v>
      </c>
      <c r="G9" s="12">
        <f t="shared" si="0"/>
        <v>2356</v>
      </c>
      <c r="H9" s="13">
        <f t="shared" si="1"/>
        <v>0.35428571428571426</v>
      </c>
      <c r="I9" s="12">
        <v>179</v>
      </c>
      <c r="J9" s="12"/>
      <c r="K9" s="12">
        <f t="shared" si="2"/>
        <v>179</v>
      </c>
      <c r="L9" s="12"/>
      <c r="M9" s="12"/>
      <c r="N9" s="12"/>
      <c r="O9" s="12">
        <f t="shared" si="3"/>
        <v>0</v>
      </c>
      <c r="P9" s="12">
        <f>ROUND(O9*설정!$B$5,0)</f>
        <v>0</v>
      </c>
      <c r="Q9" s="12">
        <f t="shared" si="4"/>
        <v>0</v>
      </c>
      <c r="R9" s="10" t="str">
        <f t="shared" si="5"/>
        <v>OK</v>
      </c>
      <c r="S9" s="12" t="str">
        <f t="shared" si="6"/>
        <v>-</v>
      </c>
      <c r="T9" s="12">
        <f>MAX(0,ROUND(N(P9)*설정!$B$4-N(K9),0))</f>
        <v>0</v>
      </c>
      <c r="U9" s="12">
        <v>322</v>
      </c>
      <c r="V9" s="34"/>
      <c r="W9" s="26"/>
    </row>
    <row r="10" spans="1:23" ht="20.100000000000001" customHeight="1" x14ac:dyDescent="0.4">
      <c r="A10" s="9" t="s">
        <v>39</v>
      </c>
      <c r="B10" s="25" t="s">
        <v>162</v>
      </c>
      <c r="C10" s="11" t="s">
        <v>232</v>
      </c>
      <c r="D10" s="12">
        <v>1260</v>
      </c>
      <c r="E10" s="12">
        <v>860</v>
      </c>
      <c r="F10" s="12">
        <f>N(E10)*(1+설정!$B$3)</f>
        <v>971.8</v>
      </c>
      <c r="G10" s="12">
        <f t="shared" si="0"/>
        <v>288.20000000000005</v>
      </c>
      <c r="H10" s="13">
        <f t="shared" si="1"/>
        <v>0.22873015873015876</v>
      </c>
      <c r="I10" s="12">
        <v>1356</v>
      </c>
      <c r="J10" s="12"/>
      <c r="K10" s="12">
        <f t="shared" si="2"/>
        <v>1356</v>
      </c>
      <c r="L10" s="12"/>
      <c r="M10" s="12"/>
      <c r="N10" s="12"/>
      <c r="O10" s="12">
        <f t="shared" si="3"/>
        <v>0</v>
      </c>
      <c r="P10" s="12">
        <f>ROUND(O10*설정!$B$5,0)</f>
        <v>0</v>
      </c>
      <c r="Q10" s="12">
        <f t="shared" si="4"/>
        <v>0</v>
      </c>
      <c r="R10" s="10" t="str">
        <f t="shared" si="5"/>
        <v>OK</v>
      </c>
      <c r="S10" s="12" t="str">
        <f t="shared" si="6"/>
        <v>-</v>
      </c>
      <c r="T10" s="12">
        <f>MAX(0,ROUND(N(P10)*설정!$B$4-N(K10),0))</f>
        <v>0</v>
      </c>
      <c r="U10" s="12">
        <v>46</v>
      </c>
      <c r="V10" s="34"/>
      <c r="W10" s="26"/>
    </row>
    <row r="11" spans="1:23" ht="20.100000000000001" customHeight="1" x14ac:dyDescent="0.4">
      <c r="A11" s="9" t="s">
        <v>39</v>
      </c>
      <c r="B11" s="25" t="s">
        <v>162</v>
      </c>
      <c r="C11" s="11" t="s">
        <v>154</v>
      </c>
      <c r="D11" s="12">
        <v>1072</v>
      </c>
      <c r="E11" s="12">
        <v>760</v>
      </c>
      <c r="F11" s="12">
        <f>N(E11)*(1+설정!$B$3)</f>
        <v>858.8</v>
      </c>
      <c r="G11" s="12">
        <f t="shared" si="0"/>
        <v>213.20000000000005</v>
      </c>
      <c r="H11" s="13">
        <f t="shared" si="1"/>
        <v>0.19888059701492541</v>
      </c>
      <c r="I11" s="12">
        <v>4133</v>
      </c>
      <c r="J11" s="12"/>
      <c r="K11" s="12">
        <f t="shared" si="2"/>
        <v>4133</v>
      </c>
      <c r="L11" s="12"/>
      <c r="M11" s="12"/>
      <c r="N11" s="12"/>
      <c r="O11" s="12">
        <f t="shared" si="3"/>
        <v>0</v>
      </c>
      <c r="P11" s="12">
        <f>ROUND(O11*설정!$B$5,0)</f>
        <v>0</v>
      </c>
      <c r="Q11" s="12">
        <f t="shared" si="4"/>
        <v>0</v>
      </c>
      <c r="R11" s="10" t="str">
        <f t="shared" si="5"/>
        <v>OK</v>
      </c>
      <c r="S11" s="12" t="str">
        <f t="shared" si="6"/>
        <v>-</v>
      </c>
      <c r="T11" s="12">
        <f>MAX(0,ROUND(N(P11)*설정!$B$4-N(K11),0))</f>
        <v>0</v>
      </c>
      <c r="U11" s="12">
        <v>102</v>
      </c>
      <c r="V11" s="34"/>
      <c r="W11" s="26"/>
    </row>
    <row r="12" spans="1:23" ht="20.100000000000001" customHeight="1" x14ac:dyDescent="0.4">
      <c r="A12" s="9" t="s">
        <v>39</v>
      </c>
      <c r="B12" s="25" t="s">
        <v>162</v>
      </c>
      <c r="C12" s="11" t="s">
        <v>43</v>
      </c>
      <c r="D12" s="12">
        <v>487</v>
      </c>
      <c r="E12" s="12">
        <v>385</v>
      </c>
      <c r="F12" s="12">
        <f>N(E12)*(1+설정!$B$3)</f>
        <v>435.04999999999995</v>
      </c>
      <c r="G12" s="12">
        <f t="shared" si="0"/>
        <v>51.950000000000045</v>
      </c>
      <c r="H12" s="13">
        <f t="shared" si="1"/>
        <v>0.10667351129363459</v>
      </c>
      <c r="I12" s="12">
        <v>6582</v>
      </c>
      <c r="J12" s="12"/>
      <c r="K12" s="12">
        <f t="shared" si="2"/>
        <v>6582</v>
      </c>
      <c r="L12" s="12">
        <v>2664</v>
      </c>
      <c r="M12" s="12">
        <v>1368</v>
      </c>
      <c r="N12" s="12">
        <v>2424</v>
      </c>
      <c r="O12" s="12">
        <f t="shared" si="3"/>
        <v>2152</v>
      </c>
      <c r="P12" s="12">
        <f>ROUND(O12*설정!$B$5,0)</f>
        <v>2582</v>
      </c>
      <c r="Q12" s="12">
        <f t="shared" si="4"/>
        <v>0</v>
      </c>
      <c r="R12" s="10" t="str">
        <f t="shared" si="5"/>
        <v>OK</v>
      </c>
      <c r="S12" s="12">
        <f t="shared" si="6"/>
        <v>91.756505576208184</v>
      </c>
      <c r="T12" s="12">
        <f>MAX(0,ROUND(N(P12)*설정!$B$4-N(K12),0))</f>
        <v>0</v>
      </c>
      <c r="U12" s="12">
        <v>81</v>
      </c>
      <c r="V12" s="34"/>
      <c r="W12" s="26"/>
    </row>
    <row r="13" spans="1:23" ht="20.100000000000001" customHeight="1" x14ac:dyDescent="0.4">
      <c r="A13" s="9" t="s">
        <v>39</v>
      </c>
      <c r="B13" s="25" t="s">
        <v>162</v>
      </c>
      <c r="C13" s="11" t="s">
        <v>44</v>
      </c>
      <c r="D13" s="12">
        <v>2096</v>
      </c>
      <c r="E13" s="12">
        <v>1000</v>
      </c>
      <c r="F13" s="12">
        <f>N(E13)*(1+설정!$B$3)</f>
        <v>1130</v>
      </c>
      <c r="G13" s="12">
        <f t="shared" si="0"/>
        <v>966</v>
      </c>
      <c r="H13" s="13">
        <f t="shared" si="1"/>
        <v>0.46087786259541985</v>
      </c>
      <c r="I13" s="12">
        <v>724</v>
      </c>
      <c r="J13" s="12"/>
      <c r="K13" s="12">
        <f t="shared" si="2"/>
        <v>724</v>
      </c>
      <c r="L13" s="12">
        <v>100</v>
      </c>
      <c r="M13" s="12">
        <v>72</v>
      </c>
      <c r="N13" s="12">
        <v>172</v>
      </c>
      <c r="O13" s="12">
        <f t="shared" si="3"/>
        <v>114.66666666666667</v>
      </c>
      <c r="P13" s="12">
        <f>ROUND(O13*설정!$B$5,0)</f>
        <v>138</v>
      </c>
      <c r="Q13" s="12">
        <f t="shared" si="4"/>
        <v>0</v>
      </c>
      <c r="R13" s="10" t="str">
        <f t="shared" si="5"/>
        <v>OK</v>
      </c>
      <c r="S13" s="12">
        <f t="shared" si="6"/>
        <v>189.41860465116278</v>
      </c>
      <c r="T13" s="12">
        <f>MAX(0,ROUND(N(P13)*설정!$B$4-N(K13),0))</f>
        <v>0</v>
      </c>
      <c r="U13" s="12">
        <v>59</v>
      </c>
      <c r="V13" s="34"/>
      <c r="W13" s="26"/>
    </row>
    <row r="14" spans="1:23" ht="20.100000000000001" customHeight="1" x14ac:dyDescent="0.4">
      <c r="A14" s="9" t="s">
        <v>39</v>
      </c>
      <c r="B14" s="25" t="s">
        <v>162</v>
      </c>
      <c r="C14" s="11" t="s">
        <v>181</v>
      </c>
      <c r="D14" s="12">
        <v>4660</v>
      </c>
      <c r="E14" s="12">
        <v>3100</v>
      </c>
      <c r="F14" s="12">
        <f>N(E14)*(1+설정!$B$3)</f>
        <v>3502.9999999999995</v>
      </c>
      <c r="G14" s="12">
        <f t="shared" si="0"/>
        <v>1157.0000000000005</v>
      </c>
      <c r="H14" s="13">
        <f t="shared" si="1"/>
        <v>0.24828326180257521</v>
      </c>
      <c r="I14" s="12">
        <v>685</v>
      </c>
      <c r="J14" s="12"/>
      <c r="K14" s="12">
        <f t="shared" si="2"/>
        <v>685</v>
      </c>
      <c r="L14" s="12"/>
      <c r="M14" s="12"/>
      <c r="N14" s="12">
        <v>288</v>
      </c>
      <c r="O14" s="12">
        <f t="shared" si="3"/>
        <v>288</v>
      </c>
      <c r="P14" s="12">
        <f>ROUND(O14*설정!$B$5,0)</f>
        <v>346</v>
      </c>
      <c r="Q14" s="12">
        <f t="shared" si="4"/>
        <v>0</v>
      </c>
      <c r="R14" s="10" t="str">
        <f t="shared" si="5"/>
        <v>OK</v>
      </c>
      <c r="S14" s="12">
        <f t="shared" si="6"/>
        <v>71.354166666666671</v>
      </c>
      <c r="T14" s="12">
        <f>MAX(0,ROUND(N(P14)*설정!$B$4-N(K14),0))</f>
        <v>7</v>
      </c>
      <c r="U14" s="12">
        <v>615</v>
      </c>
      <c r="V14" s="34"/>
      <c r="W14" s="26"/>
    </row>
    <row r="15" spans="1:23" ht="20.100000000000001" customHeight="1" x14ac:dyDescent="0.4">
      <c r="A15" s="9" t="s">
        <v>39</v>
      </c>
      <c r="B15" s="25" t="s">
        <v>162</v>
      </c>
      <c r="C15" s="11" t="s">
        <v>233</v>
      </c>
      <c r="D15" s="12">
        <v>1102</v>
      </c>
      <c r="E15" s="12">
        <v>895</v>
      </c>
      <c r="F15" s="12">
        <f>N(E15)*(1+설정!$B$3)</f>
        <v>1011.3499999999999</v>
      </c>
      <c r="G15" s="12">
        <f t="shared" si="0"/>
        <v>90.650000000000091</v>
      </c>
      <c r="H15" s="13">
        <f t="shared" si="1"/>
        <v>8.2259528130671583E-2</v>
      </c>
      <c r="I15" s="12">
        <v>3076</v>
      </c>
      <c r="J15" s="12"/>
      <c r="K15" s="12">
        <f t="shared" si="2"/>
        <v>3076</v>
      </c>
      <c r="L15" s="12">
        <v>3360</v>
      </c>
      <c r="M15" s="12">
        <v>3600</v>
      </c>
      <c r="N15" s="12"/>
      <c r="O15" s="12">
        <f t="shared" si="3"/>
        <v>3480</v>
      </c>
      <c r="P15" s="12">
        <f>ROUND(O15*설정!$B$5,0)</f>
        <v>4176</v>
      </c>
      <c r="Q15" s="12">
        <f t="shared" si="4"/>
        <v>1100</v>
      </c>
      <c r="R15" s="10" t="str">
        <f t="shared" si="5"/>
        <v>⚠ 부족</v>
      </c>
      <c r="S15" s="12">
        <f t="shared" si="6"/>
        <v>26.517241379310345</v>
      </c>
      <c r="T15" s="12">
        <f>MAX(0,ROUND(N(P15)*설정!$B$4-N(K15),0))</f>
        <v>5276</v>
      </c>
      <c r="U15" s="12">
        <v>100</v>
      </c>
      <c r="V15" s="34"/>
      <c r="W15" s="26"/>
    </row>
    <row r="16" spans="1:23" ht="20.100000000000001" customHeight="1" x14ac:dyDescent="0.4">
      <c r="A16" s="9" t="s">
        <v>39</v>
      </c>
      <c r="B16" s="25" t="s">
        <v>162</v>
      </c>
      <c r="C16" s="11" t="s">
        <v>180</v>
      </c>
      <c r="D16" s="12">
        <v>2925</v>
      </c>
      <c r="E16" s="12">
        <v>1760</v>
      </c>
      <c r="F16" s="12">
        <f>N(E16)*(1+설정!$B$3)</f>
        <v>1988.7999999999997</v>
      </c>
      <c r="G16" s="12">
        <f t="shared" si="0"/>
        <v>936.20000000000027</v>
      </c>
      <c r="H16" s="13">
        <f t="shared" si="1"/>
        <v>0.32006837606837618</v>
      </c>
      <c r="I16" s="12">
        <v>348</v>
      </c>
      <c r="J16" s="12"/>
      <c r="K16" s="12">
        <f t="shared" si="2"/>
        <v>348</v>
      </c>
      <c r="L16" s="12">
        <v>122</v>
      </c>
      <c r="M16" s="12">
        <v>220</v>
      </c>
      <c r="N16" s="12">
        <v>102</v>
      </c>
      <c r="O16" s="12">
        <f t="shared" si="3"/>
        <v>148</v>
      </c>
      <c r="P16" s="12">
        <f>ROUND(O16*설정!$B$5,0)</f>
        <v>178</v>
      </c>
      <c r="Q16" s="12">
        <f t="shared" si="4"/>
        <v>0</v>
      </c>
      <c r="R16" s="10" t="str">
        <f t="shared" si="5"/>
        <v>OK</v>
      </c>
      <c r="S16" s="12">
        <f t="shared" si="6"/>
        <v>70.540540540540533</v>
      </c>
      <c r="T16" s="12">
        <f>MAX(0,ROUND(N(P16)*설정!$B$4-N(K16),0))</f>
        <v>8</v>
      </c>
      <c r="U16" s="12">
        <v>78</v>
      </c>
      <c r="V16" s="34"/>
      <c r="W16" s="26"/>
    </row>
    <row r="17" spans="1:23" ht="20.100000000000001" customHeight="1" x14ac:dyDescent="0.4">
      <c r="A17" s="9" t="s">
        <v>39</v>
      </c>
      <c r="B17" s="25" t="s">
        <v>162</v>
      </c>
      <c r="C17" s="11" t="s">
        <v>45</v>
      </c>
      <c r="D17" s="12">
        <v>379</v>
      </c>
      <c r="E17" s="12">
        <v>340</v>
      </c>
      <c r="F17" s="12">
        <f>N(E17)*(1+설정!$B$3)</f>
        <v>384.2</v>
      </c>
      <c r="G17" s="12">
        <f t="shared" si="0"/>
        <v>-5.1999999999999886</v>
      </c>
      <c r="H17" s="13">
        <f t="shared" si="1"/>
        <v>-1.3720316622691263E-2</v>
      </c>
      <c r="I17" s="12">
        <v>-64</v>
      </c>
      <c r="J17" s="12">
        <v>21600</v>
      </c>
      <c r="K17" s="12">
        <f t="shared" si="2"/>
        <v>21536</v>
      </c>
      <c r="L17" s="12"/>
      <c r="M17" s="12"/>
      <c r="N17" s="12"/>
      <c r="O17" s="12">
        <f t="shared" si="3"/>
        <v>0</v>
      </c>
      <c r="P17" s="12">
        <f>ROUND(O17*설정!$B$5,0)</f>
        <v>0</v>
      </c>
      <c r="Q17" s="12">
        <f t="shared" si="4"/>
        <v>0</v>
      </c>
      <c r="R17" s="10" t="str">
        <f t="shared" si="5"/>
        <v>OK</v>
      </c>
      <c r="S17" s="12" t="str">
        <f t="shared" si="6"/>
        <v>-</v>
      </c>
      <c r="T17" s="12">
        <f>MAX(0,ROUND(N(P17)*설정!$B$4-N(K17),0))</f>
        <v>0</v>
      </c>
      <c r="U17" s="12">
        <v>191</v>
      </c>
      <c r="V17" s="34"/>
      <c r="W17" s="26"/>
    </row>
    <row r="18" spans="1:23" ht="20.100000000000001" customHeight="1" x14ac:dyDescent="0.4">
      <c r="A18" s="9" t="s">
        <v>39</v>
      </c>
      <c r="B18" s="25" t="s">
        <v>162</v>
      </c>
      <c r="C18" s="11" t="s">
        <v>187</v>
      </c>
      <c r="D18" s="12">
        <v>921</v>
      </c>
      <c r="E18" s="12">
        <v>650</v>
      </c>
      <c r="F18" s="12">
        <f>N(E18)*(1+설정!$B$3)</f>
        <v>734.49999999999989</v>
      </c>
      <c r="G18" s="12">
        <f t="shared" si="0"/>
        <v>186.50000000000011</v>
      </c>
      <c r="H18" s="13">
        <f t="shared" si="1"/>
        <v>0.20249728555917493</v>
      </c>
      <c r="I18" s="12">
        <v>121</v>
      </c>
      <c r="J18" s="12"/>
      <c r="K18" s="12">
        <f t="shared" si="2"/>
        <v>121</v>
      </c>
      <c r="L18" s="12"/>
      <c r="M18" s="12">
        <v>132</v>
      </c>
      <c r="N18" s="12">
        <v>1992</v>
      </c>
      <c r="O18" s="12">
        <f t="shared" si="3"/>
        <v>1062</v>
      </c>
      <c r="P18" s="12">
        <f>ROUND(O18*설정!$B$5,0)</f>
        <v>1274</v>
      </c>
      <c r="Q18" s="12">
        <f t="shared" si="4"/>
        <v>1153</v>
      </c>
      <c r="R18" s="10" t="str">
        <f t="shared" si="5"/>
        <v>⚠ 부족</v>
      </c>
      <c r="S18" s="12">
        <f t="shared" si="6"/>
        <v>3.4180790960451977</v>
      </c>
      <c r="T18" s="12">
        <f>MAX(0,ROUND(N(P18)*설정!$B$4-N(K18),0))</f>
        <v>2427</v>
      </c>
      <c r="U18" s="12">
        <v>127</v>
      </c>
      <c r="V18" s="34"/>
      <c r="W18" s="26"/>
    </row>
    <row r="19" spans="1:23" ht="20.100000000000001" customHeight="1" x14ac:dyDescent="0.4">
      <c r="A19" s="9" t="s">
        <v>39</v>
      </c>
      <c r="B19" s="25" t="s">
        <v>162</v>
      </c>
      <c r="C19" s="11" t="s">
        <v>46</v>
      </c>
      <c r="D19" s="12">
        <v>898</v>
      </c>
      <c r="E19" s="12">
        <v>726</v>
      </c>
      <c r="F19" s="12">
        <f>N(E19)*(1+설정!$B$3)</f>
        <v>820.37999999999988</v>
      </c>
      <c r="G19" s="12">
        <f t="shared" si="0"/>
        <v>77.620000000000118</v>
      </c>
      <c r="H19" s="13">
        <f t="shared" si="1"/>
        <v>8.6436525612472295E-2</v>
      </c>
      <c r="I19" s="12">
        <v>3</v>
      </c>
      <c r="J19" s="12"/>
      <c r="K19" s="12">
        <f t="shared" si="2"/>
        <v>3</v>
      </c>
      <c r="L19" s="12"/>
      <c r="M19" s="12"/>
      <c r="N19" s="12">
        <v>7854</v>
      </c>
      <c r="O19" s="12">
        <f t="shared" si="3"/>
        <v>7854</v>
      </c>
      <c r="P19" s="12">
        <f>ROUND(O19*설정!$B$5,0)</f>
        <v>9425</v>
      </c>
      <c r="Q19" s="12">
        <f t="shared" si="4"/>
        <v>9422</v>
      </c>
      <c r="R19" s="10" t="str">
        <f t="shared" si="5"/>
        <v>⚠ 부족</v>
      </c>
      <c r="S19" s="12">
        <f t="shared" si="6"/>
        <v>1.1459129106187928E-2</v>
      </c>
      <c r="T19" s="12">
        <f>MAX(0,ROUND(N(P19)*설정!$B$4-N(K19),0))</f>
        <v>18847</v>
      </c>
      <c r="U19" s="12">
        <v>144</v>
      </c>
      <c r="V19" s="34"/>
      <c r="W19" s="26"/>
    </row>
    <row r="20" spans="1:23" ht="20.100000000000001" customHeight="1" x14ac:dyDescent="0.4">
      <c r="A20" s="9" t="s">
        <v>39</v>
      </c>
      <c r="B20" s="25" t="s">
        <v>162</v>
      </c>
      <c r="C20" s="11" t="s">
        <v>47</v>
      </c>
      <c r="D20" s="12">
        <v>390</v>
      </c>
      <c r="E20" s="12">
        <v>320</v>
      </c>
      <c r="F20" s="12">
        <f>N(E20)*(1+설정!$B$3)</f>
        <v>361.59999999999997</v>
      </c>
      <c r="G20" s="12">
        <f t="shared" si="0"/>
        <v>28.400000000000034</v>
      </c>
      <c r="H20" s="13">
        <f t="shared" si="1"/>
        <v>7.2820512820512912E-2</v>
      </c>
      <c r="I20" s="12">
        <v>9107</v>
      </c>
      <c r="J20" s="12"/>
      <c r="K20" s="12">
        <f t="shared" si="2"/>
        <v>9107</v>
      </c>
      <c r="L20" s="12">
        <v>792</v>
      </c>
      <c r="M20" s="12">
        <v>3000</v>
      </c>
      <c r="N20" s="12">
        <v>1344</v>
      </c>
      <c r="O20" s="12">
        <f t="shared" si="3"/>
        <v>1712</v>
      </c>
      <c r="P20" s="12">
        <f>ROUND(O20*설정!$B$5,0)</f>
        <v>2054</v>
      </c>
      <c r="Q20" s="12">
        <f t="shared" si="4"/>
        <v>0</v>
      </c>
      <c r="R20" s="10" t="str">
        <f t="shared" si="5"/>
        <v>OK</v>
      </c>
      <c r="S20" s="12">
        <f t="shared" si="6"/>
        <v>159.58528037383178</v>
      </c>
      <c r="T20" s="12">
        <f>MAX(0,ROUND(N(P20)*설정!$B$4-N(K20),0))</f>
        <v>0</v>
      </c>
      <c r="U20" s="12">
        <v>556</v>
      </c>
      <c r="V20" s="34"/>
      <c r="W20" s="26"/>
    </row>
    <row r="21" spans="1:23" ht="20.100000000000001" customHeight="1" x14ac:dyDescent="0.4">
      <c r="A21" s="9" t="s">
        <v>39</v>
      </c>
      <c r="B21" s="25" t="s">
        <v>162</v>
      </c>
      <c r="C21" s="11" t="s">
        <v>48</v>
      </c>
      <c r="D21" s="12">
        <v>1473</v>
      </c>
      <c r="E21" s="12">
        <v>1150</v>
      </c>
      <c r="F21" s="12">
        <f>N(E21)*(1+설정!$B$3)</f>
        <v>1299.4999999999998</v>
      </c>
      <c r="G21" s="12">
        <f t="shared" si="0"/>
        <v>173.50000000000023</v>
      </c>
      <c r="H21" s="13">
        <f t="shared" si="1"/>
        <v>0.11778682959945705</v>
      </c>
      <c r="I21" s="12">
        <v>1663</v>
      </c>
      <c r="J21" s="12"/>
      <c r="K21" s="12">
        <f t="shared" si="2"/>
        <v>1663</v>
      </c>
      <c r="L21" s="12"/>
      <c r="M21" s="12">
        <v>144</v>
      </c>
      <c r="N21" s="12">
        <v>88</v>
      </c>
      <c r="O21" s="12">
        <f t="shared" si="3"/>
        <v>116</v>
      </c>
      <c r="P21" s="12">
        <f>ROUND(O21*설정!$B$5,0)</f>
        <v>139</v>
      </c>
      <c r="Q21" s="12">
        <f t="shared" si="4"/>
        <v>0</v>
      </c>
      <c r="R21" s="10" t="str">
        <f t="shared" si="5"/>
        <v>OK</v>
      </c>
      <c r="S21" s="12">
        <f t="shared" si="6"/>
        <v>430.08620689655174</v>
      </c>
      <c r="T21" s="12">
        <f>MAX(0,ROUND(N(P21)*설정!$B$4-N(K21),0))</f>
        <v>0</v>
      </c>
      <c r="U21" s="12">
        <v>116</v>
      </c>
      <c r="V21" s="34"/>
      <c r="W21" s="26"/>
    </row>
    <row r="22" spans="1:23" ht="20.100000000000001" customHeight="1" thickBot="1" x14ac:dyDescent="0.45">
      <c r="A22" s="9" t="s">
        <v>39</v>
      </c>
      <c r="B22" s="27" t="s">
        <v>162</v>
      </c>
      <c r="C22" s="28" t="s">
        <v>182</v>
      </c>
      <c r="D22" s="29">
        <v>410</v>
      </c>
      <c r="E22" s="29">
        <v>300</v>
      </c>
      <c r="F22" s="29">
        <f>N(E22)*(1+설정!$B$3)</f>
        <v>338.99999999999994</v>
      </c>
      <c r="G22" s="29">
        <f t="shared" si="0"/>
        <v>71.000000000000057</v>
      </c>
      <c r="H22" s="30">
        <f t="shared" si="1"/>
        <v>0.1731707317073172</v>
      </c>
      <c r="I22" s="29">
        <v>32</v>
      </c>
      <c r="J22" s="29"/>
      <c r="K22" s="29">
        <f t="shared" si="2"/>
        <v>32</v>
      </c>
      <c r="L22" s="29">
        <v>1840</v>
      </c>
      <c r="M22" s="29">
        <v>3200</v>
      </c>
      <c r="N22" s="29">
        <v>2560</v>
      </c>
      <c r="O22" s="29">
        <f t="shared" si="3"/>
        <v>2533.3333333333335</v>
      </c>
      <c r="P22" s="29">
        <f>ROUND(O22*설정!$B$5,0)</f>
        <v>3040</v>
      </c>
      <c r="Q22" s="29">
        <f t="shared" si="4"/>
        <v>3008</v>
      </c>
      <c r="R22" s="31" t="str">
        <f t="shared" si="5"/>
        <v>⚠ 부족</v>
      </c>
      <c r="S22" s="29">
        <f t="shared" si="6"/>
        <v>0.37894736842105264</v>
      </c>
      <c r="T22" s="29">
        <f>MAX(0,ROUND(N(P22)*설정!$B$4-N(K22),0))</f>
        <v>6048</v>
      </c>
      <c r="U22" s="29">
        <v>138</v>
      </c>
      <c r="V22" s="35"/>
      <c r="W22" s="32"/>
    </row>
    <row r="23" spans="1:23" ht="20.100000000000001" customHeight="1" x14ac:dyDescent="0.4">
      <c r="A23" s="9" t="s">
        <v>39</v>
      </c>
      <c r="B23" s="19" t="s">
        <v>163</v>
      </c>
      <c r="C23" s="20" t="s">
        <v>49</v>
      </c>
      <c r="D23" s="21">
        <v>946</v>
      </c>
      <c r="E23" s="21">
        <v>760</v>
      </c>
      <c r="F23" s="21">
        <f>N(E23)*(1+설정!$B$3)</f>
        <v>858.8</v>
      </c>
      <c r="G23" s="21">
        <f t="shared" si="0"/>
        <v>87.200000000000045</v>
      </c>
      <c r="H23" s="22">
        <f t="shared" si="1"/>
        <v>9.217758985200851E-2</v>
      </c>
      <c r="I23" s="21">
        <v>917</v>
      </c>
      <c r="J23" s="21"/>
      <c r="K23" s="21">
        <f t="shared" si="2"/>
        <v>917</v>
      </c>
      <c r="L23" s="21">
        <v>372</v>
      </c>
      <c r="M23" s="21">
        <v>1008</v>
      </c>
      <c r="N23" s="21">
        <v>408</v>
      </c>
      <c r="O23" s="21">
        <f t="shared" si="3"/>
        <v>596</v>
      </c>
      <c r="P23" s="21">
        <f>ROUND(O23*설정!$B$5,0)</f>
        <v>715</v>
      </c>
      <c r="Q23" s="21">
        <f t="shared" si="4"/>
        <v>0</v>
      </c>
      <c r="R23" s="23" t="str">
        <f t="shared" si="5"/>
        <v>OK</v>
      </c>
      <c r="S23" s="21">
        <f t="shared" si="6"/>
        <v>46.15771812080537</v>
      </c>
      <c r="T23" s="21">
        <f>MAX(0,ROUND(N(P23)*설정!$B$4-N(K23),0))</f>
        <v>513</v>
      </c>
      <c r="U23" s="21">
        <v>26</v>
      </c>
      <c r="V23" s="33"/>
      <c r="W23" s="24"/>
    </row>
    <row r="24" spans="1:23" ht="20.100000000000001" customHeight="1" x14ac:dyDescent="0.4">
      <c r="A24" s="9" t="s">
        <v>39</v>
      </c>
      <c r="B24" s="25" t="s">
        <v>163</v>
      </c>
      <c r="C24" s="11" t="s">
        <v>50</v>
      </c>
      <c r="D24" s="12">
        <v>959</v>
      </c>
      <c r="E24" s="12">
        <v>550</v>
      </c>
      <c r="F24" s="12">
        <f>N(E24)*(1+설정!$B$3)</f>
        <v>621.49999999999989</v>
      </c>
      <c r="G24" s="12">
        <f t="shared" si="0"/>
        <v>337.50000000000011</v>
      </c>
      <c r="H24" s="13">
        <f t="shared" si="1"/>
        <v>0.35192909280500534</v>
      </c>
      <c r="I24" s="12">
        <v>5129</v>
      </c>
      <c r="J24" s="12"/>
      <c r="K24" s="12">
        <f t="shared" si="2"/>
        <v>5129</v>
      </c>
      <c r="L24" s="12">
        <v>1092</v>
      </c>
      <c r="M24" s="12">
        <v>2187</v>
      </c>
      <c r="N24" s="12">
        <v>879</v>
      </c>
      <c r="O24" s="12">
        <f t="shared" si="3"/>
        <v>1386</v>
      </c>
      <c r="P24" s="12">
        <f>ROUND(O24*설정!$B$5,0)</f>
        <v>1663</v>
      </c>
      <c r="Q24" s="12">
        <f t="shared" si="4"/>
        <v>0</v>
      </c>
      <c r="R24" s="10" t="str">
        <f t="shared" si="5"/>
        <v>OK</v>
      </c>
      <c r="S24" s="12">
        <f t="shared" si="6"/>
        <v>111.01731601731601</v>
      </c>
      <c r="T24" s="12">
        <f>MAX(0,ROUND(N(P24)*설정!$B$4-N(K24),0))</f>
        <v>0</v>
      </c>
      <c r="U24" s="12">
        <v>41</v>
      </c>
      <c r="V24" s="34"/>
      <c r="W24" s="26"/>
    </row>
    <row r="25" spans="1:23" ht="20.100000000000001" customHeight="1" x14ac:dyDescent="0.4">
      <c r="A25" s="9" t="s">
        <v>39</v>
      </c>
      <c r="B25" s="25" t="s">
        <v>163</v>
      </c>
      <c r="C25" s="11" t="s">
        <v>51</v>
      </c>
      <c r="D25" s="12">
        <v>893</v>
      </c>
      <c r="E25" s="12">
        <v>745</v>
      </c>
      <c r="F25" s="12">
        <f>N(E25)*(1+설정!$B$3)</f>
        <v>841.84999999999991</v>
      </c>
      <c r="G25" s="12">
        <f t="shared" si="0"/>
        <v>51.150000000000091</v>
      </c>
      <c r="H25" s="13">
        <f t="shared" si="1"/>
        <v>5.7278835386338288E-2</v>
      </c>
      <c r="I25" s="12">
        <v>1</v>
      </c>
      <c r="J25" s="12">
        <v>5760</v>
      </c>
      <c r="K25" s="12">
        <f t="shared" si="2"/>
        <v>5761</v>
      </c>
      <c r="L25" s="12">
        <v>1640</v>
      </c>
      <c r="M25" s="12"/>
      <c r="N25" s="12"/>
      <c r="O25" s="12">
        <f t="shared" si="3"/>
        <v>1640</v>
      </c>
      <c r="P25" s="12">
        <f>ROUND(O25*설정!$B$5,0)</f>
        <v>1968</v>
      </c>
      <c r="Q25" s="12">
        <f t="shared" si="4"/>
        <v>0</v>
      </c>
      <c r="R25" s="10" t="str">
        <f t="shared" si="5"/>
        <v>OK</v>
      </c>
      <c r="S25" s="12">
        <f t="shared" si="6"/>
        <v>105.38414634146342</v>
      </c>
      <c r="T25" s="12">
        <f>MAX(0,ROUND(N(P25)*설정!$B$4-N(K25),0))</f>
        <v>0</v>
      </c>
      <c r="U25" s="12">
        <v>120</v>
      </c>
      <c r="V25" s="34"/>
      <c r="W25" s="26"/>
    </row>
    <row r="26" spans="1:23" ht="20.100000000000001" customHeight="1" x14ac:dyDescent="0.4">
      <c r="A26" s="9" t="s">
        <v>39</v>
      </c>
      <c r="B26" s="25" t="s">
        <v>163</v>
      </c>
      <c r="C26" s="11" t="s">
        <v>52</v>
      </c>
      <c r="D26" s="12">
        <v>3043</v>
      </c>
      <c r="E26" s="12">
        <v>2300</v>
      </c>
      <c r="F26" s="12">
        <f>N(E26)*(1+설정!$B$3)</f>
        <v>2598.9999999999995</v>
      </c>
      <c r="G26" s="12">
        <f t="shared" si="0"/>
        <v>444.00000000000045</v>
      </c>
      <c r="H26" s="13">
        <f t="shared" si="1"/>
        <v>0.14590864278672377</v>
      </c>
      <c r="I26" s="12">
        <v>907</v>
      </c>
      <c r="J26" s="12"/>
      <c r="K26" s="12">
        <f t="shared" si="2"/>
        <v>907</v>
      </c>
      <c r="L26" s="12">
        <v>328</v>
      </c>
      <c r="M26" s="12">
        <v>432</v>
      </c>
      <c r="N26" s="12">
        <v>208</v>
      </c>
      <c r="O26" s="12">
        <f t="shared" si="3"/>
        <v>322.66666666666669</v>
      </c>
      <c r="P26" s="12">
        <f>ROUND(O26*설정!$B$5,0)</f>
        <v>387</v>
      </c>
      <c r="Q26" s="12">
        <f t="shared" si="4"/>
        <v>0</v>
      </c>
      <c r="R26" s="10" t="str">
        <f t="shared" si="5"/>
        <v>OK</v>
      </c>
      <c r="S26" s="12">
        <f t="shared" si="6"/>
        <v>84.328512396694208</v>
      </c>
      <c r="T26" s="12">
        <f>MAX(0,ROUND(N(P26)*설정!$B$4-N(K26),0))</f>
        <v>0</v>
      </c>
      <c r="U26" s="12">
        <v>85</v>
      </c>
      <c r="V26" s="34"/>
      <c r="W26" s="26"/>
    </row>
    <row r="27" spans="1:23" ht="20.100000000000001" customHeight="1" x14ac:dyDescent="0.4">
      <c r="A27" s="9" t="s">
        <v>39</v>
      </c>
      <c r="B27" s="25" t="s">
        <v>163</v>
      </c>
      <c r="C27" s="11" t="s">
        <v>234</v>
      </c>
      <c r="D27" s="12">
        <v>2058</v>
      </c>
      <c r="E27" s="12">
        <v>1285</v>
      </c>
      <c r="F27" s="12">
        <f>N(E27)*(1+설정!$B$3)</f>
        <v>1452.05</v>
      </c>
      <c r="G27" s="12">
        <f t="shared" si="0"/>
        <v>605.95000000000005</v>
      </c>
      <c r="H27" s="13">
        <f t="shared" si="1"/>
        <v>0.29443634596695822</v>
      </c>
      <c r="I27" s="12">
        <v>152</v>
      </c>
      <c r="J27" s="12"/>
      <c r="K27" s="12">
        <f t="shared" si="2"/>
        <v>152</v>
      </c>
      <c r="L27" s="12">
        <v>408</v>
      </c>
      <c r="M27" s="12"/>
      <c r="N27" s="12">
        <v>1284</v>
      </c>
      <c r="O27" s="12">
        <f t="shared" si="3"/>
        <v>846</v>
      </c>
      <c r="P27" s="12">
        <f>ROUND(O27*설정!$B$5,0)</f>
        <v>1015</v>
      </c>
      <c r="Q27" s="12">
        <f t="shared" si="4"/>
        <v>863</v>
      </c>
      <c r="R27" s="10" t="str">
        <f t="shared" si="5"/>
        <v>⚠ 부족</v>
      </c>
      <c r="S27" s="12">
        <f t="shared" si="6"/>
        <v>5.3900709219858154</v>
      </c>
      <c r="T27" s="12">
        <f>MAX(0,ROUND(N(P27)*설정!$B$4-N(K27),0))</f>
        <v>1878</v>
      </c>
      <c r="U27" s="12">
        <v>37</v>
      </c>
      <c r="V27" s="34"/>
      <c r="W27" s="26"/>
    </row>
    <row r="28" spans="1:23" ht="20.100000000000001" customHeight="1" x14ac:dyDescent="0.4">
      <c r="A28" s="9" t="s">
        <v>39</v>
      </c>
      <c r="B28" s="25" t="s">
        <v>163</v>
      </c>
      <c r="C28" s="11" t="s">
        <v>183</v>
      </c>
      <c r="D28" s="12">
        <v>2975</v>
      </c>
      <c r="E28" s="12">
        <v>2400</v>
      </c>
      <c r="F28" s="12">
        <f>N(E28)*(1+설정!$B$3)</f>
        <v>2711.9999999999995</v>
      </c>
      <c r="G28" s="12">
        <f t="shared" si="0"/>
        <v>263.00000000000045</v>
      </c>
      <c r="H28" s="13">
        <f t="shared" si="1"/>
        <v>8.8403361344537967E-2</v>
      </c>
      <c r="I28" s="12">
        <v>2548</v>
      </c>
      <c r="J28" s="12"/>
      <c r="K28" s="12">
        <f t="shared" si="2"/>
        <v>2548</v>
      </c>
      <c r="L28" s="12">
        <v>2568</v>
      </c>
      <c r="M28" s="12">
        <v>1704</v>
      </c>
      <c r="N28" s="12">
        <v>1528</v>
      </c>
      <c r="O28" s="12">
        <f t="shared" si="3"/>
        <v>1933.3333333333333</v>
      </c>
      <c r="P28" s="12">
        <f>ROUND(O28*설정!$B$5,0)</f>
        <v>2320</v>
      </c>
      <c r="Q28" s="12">
        <f t="shared" si="4"/>
        <v>0</v>
      </c>
      <c r="R28" s="10" t="str">
        <f t="shared" si="5"/>
        <v>OK</v>
      </c>
      <c r="S28" s="12">
        <f t="shared" si="6"/>
        <v>39.53793103448276</v>
      </c>
      <c r="T28" s="12">
        <f>MAX(0,ROUND(N(P28)*설정!$B$4-N(K28),0))</f>
        <v>2092</v>
      </c>
      <c r="U28" s="12">
        <v>46</v>
      </c>
      <c r="V28" s="34"/>
      <c r="W28" s="26"/>
    </row>
    <row r="29" spans="1:23" ht="20.100000000000001" customHeight="1" x14ac:dyDescent="0.4">
      <c r="A29" s="9" t="s">
        <v>39</v>
      </c>
      <c r="B29" s="25" t="s">
        <v>163</v>
      </c>
      <c r="C29" s="11" t="s">
        <v>184</v>
      </c>
      <c r="D29" s="12">
        <v>1200</v>
      </c>
      <c r="E29" s="12">
        <v>935</v>
      </c>
      <c r="F29" s="12">
        <f>N(E29)*(1+설정!$B$3)</f>
        <v>1056.55</v>
      </c>
      <c r="G29" s="12">
        <f t="shared" si="0"/>
        <v>143.45000000000005</v>
      </c>
      <c r="H29" s="13">
        <f t="shared" si="1"/>
        <v>0.1195416666666667</v>
      </c>
      <c r="I29" s="12">
        <v>2006</v>
      </c>
      <c r="J29" s="12"/>
      <c r="K29" s="12">
        <f t="shared" si="2"/>
        <v>2006</v>
      </c>
      <c r="L29" s="12">
        <v>2946</v>
      </c>
      <c r="M29" s="12">
        <v>944</v>
      </c>
      <c r="N29" s="12">
        <v>2616</v>
      </c>
      <c r="O29" s="12">
        <f t="shared" si="3"/>
        <v>2168.6666666666665</v>
      </c>
      <c r="P29" s="12">
        <f>ROUND(O29*설정!$B$5,0)</f>
        <v>2602</v>
      </c>
      <c r="Q29" s="12">
        <f t="shared" si="4"/>
        <v>596</v>
      </c>
      <c r="R29" s="10" t="str">
        <f t="shared" si="5"/>
        <v>⚠ 부족</v>
      </c>
      <c r="S29" s="12">
        <f t="shared" si="6"/>
        <v>27.749769443590537</v>
      </c>
      <c r="T29" s="12">
        <f>MAX(0,ROUND(N(P29)*설정!$B$4-N(K29),0))</f>
        <v>3198</v>
      </c>
      <c r="U29" s="12">
        <v>82</v>
      </c>
      <c r="V29" s="34"/>
      <c r="W29" s="26"/>
    </row>
    <row r="30" spans="1:23" ht="20.100000000000001" customHeight="1" x14ac:dyDescent="0.4">
      <c r="A30" s="9" t="s">
        <v>39</v>
      </c>
      <c r="B30" s="25" t="s">
        <v>163</v>
      </c>
      <c r="C30" s="11" t="s">
        <v>53</v>
      </c>
      <c r="D30" s="12">
        <v>864</v>
      </c>
      <c r="E30" s="12">
        <v>726</v>
      </c>
      <c r="F30" s="12">
        <f>N(E30)*(1+설정!$B$3)</f>
        <v>820.37999999999988</v>
      </c>
      <c r="G30" s="12">
        <f t="shared" si="0"/>
        <v>43.620000000000118</v>
      </c>
      <c r="H30" s="13">
        <f t="shared" si="1"/>
        <v>5.0486111111111245E-2</v>
      </c>
      <c r="I30" s="12">
        <v>108</v>
      </c>
      <c r="J30" s="12"/>
      <c r="K30" s="12">
        <f t="shared" si="2"/>
        <v>108</v>
      </c>
      <c r="L30" s="12">
        <v>6</v>
      </c>
      <c r="M30" s="12">
        <v>12</v>
      </c>
      <c r="N30" s="12">
        <v>234</v>
      </c>
      <c r="O30" s="12">
        <f t="shared" si="3"/>
        <v>84</v>
      </c>
      <c r="P30" s="12">
        <f>ROUND(O30*설정!$B$5,0)</f>
        <v>101</v>
      </c>
      <c r="Q30" s="12">
        <f t="shared" si="4"/>
        <v>0</v>
      </c>
      <c r="R30" s="10" t="str">
        <f t="shared" si="5"/>
        <v>OK</v>
      </c>
      <c r="S30" s="12">
        <f t="shared" si="6"/>
        <v>38.571428571428577</v>
      </c>
      <c r="T30" s="12">
        <f>MAX(0,ROUND(N(P30)*설정!$B$4-N(K30),0))</f>
        <v>94</v>
      </c>
      <c r="U30" s="12"/>
      <c r="V30" s="34"/>
      <c r="W30" s="26"/>
    </row>
    <row r="31" spans="1:23" ht="20.100000000000001" customHeight="1" x14ac:dyDescent="0.4">
      <c r="A31" s="9" t="s">
        <v>39</v>
      </c>
      <c r="B31" s="25" t="s">
        <v>163</v>
      </c>
      <c r="C31" s="11" t="s">
        <v>185</v>
      </c>
      <c r="D31" s="12">
        <v>744</v>
      </c>
      <c r="E31" s="12">
        <v>560</v>
      </c>
      <c r="F31" s="12">
        <f>N(E31)*(1+설정!$B$3)</f>
        <v>632.79999999999995</v>
      </c>
      <c r="G31" s="12">
        <f t="shared" si="0"/>
        <v>111.20000000000005</v>
      </c>
      <c r="H31" s="13">
        <f t="shared" si="1"/>
        <v>0.14946236559139792</v>
      </c>
      <c r="I31" s="12">
        <v>279</v>
      </c>
      <c r="J31" s="12"/>
      <c r="K31" s="12">
        <f t="shared" si="2"/>
        <v>279</v>
      </c>
      <c r="L31" s="12">
        <v>256</v>
      </c>
      <c r="M31" s="12">
        <v>1440</v>
      </c>
      <c r="N31" s="12">
        <v>192</v>
      </c>
      <c r="O31" s="12">
        <f t="shared" si="3"/>
        <v>629.33333333333337</v>
      </c>
      <c r="P31" s="12">
        <f>ROUND(O31*설정!$B$5,0)</f>
        <v>755</v>
      </c>
      <c r="Q31" s="12">
        <f t="shared" si="4"/>
        <v>476</v>
      </c>
      <c r="R31" s="10" t="str">
        <f t="shared" si="5"/>
        <v>⚠ 부족</v>
      </c>
      <c r="S31" s="12">
        <f t="shared" si="6"/>
        <v>13.29978813559322</v>
      </c>
      <c r="T31" s="12">
        <f>MAX(0,ROUND(N(P31)*설정!$B$4-N(K31),0))</f>
        <v>1231</v>
      </c>
      <c r="U31" s="12">
        <v>19</v>
      </c>
      <c r="V31" s="34"/>
      <c r="W31" s="26"/>
    </row>
    <row r="32" spans="1:23" ht="20.100000000000001" customHeight="1" x14ac:dyDescent="0.4">
      <c r="A32" s="9" t="s">
        <v>39</v>
      </c>
      <c r="B32" s="25" t="s">
        <v>163</v>
      </c>
      <c r="C32" s="11" t="s">
        <v>54</v>
      </c>
      <c r="D32" s="12">
        <v>1398</v>
      </c>
      <c r="E32" s="12">
        <v>1200</v>
      </c>
      <c r="F32" s="12">
        <f>N(E32)*(1+설정!$B$3)</f>
        <v>1355.9999999999998</v>
      </c>
      <c r="G32" s="12">
        <f t="shared" si="0"/>
        <v>42.000000000000227</v>
      </c>
      <c r="H32" s="13">
        <f t="shared" si="1"/>
        <v>3.0042918454935785E-2</v>
      </c>
      <c r="I32" s="12">
        <v>4</v>
      </c>
      <c r="J32" s="12"/>
      <c r="K32" s="12">
        <f t="shared" si="2"/>
        <v>4</v>
      </c>
      <c r="L32" s="12"/>
      <c r="M32" s="12">
        <v>40</v>
      </c>
      <c r="N32" s="12"/>
      <c r="O32" s="12">
        <f t="shared" si="3"/>
        <v>40</v>
      </c>
      <c r="P32" s="12">
        <f>ROUND(O32*설정!$B$5,0)</f>
        <v>48</v>
      </c>
      <c r="Q32" s="12">
        <f t="shared" si="4"/>
        <v>44</v>
      </c>
      <c r="R32" s="10" t="str">
        <f t="shared" si="5"/>
        <v>⚠ 부족</v>
      </c>
      <c r="S32" s="12">
        <f t="shared" si="6"/>
        <v>3</v>
      </c>
      <c r="T32" s="12">
        <f>MAX(0,ROUND(N(P32)*설정!$B$4-N(K32),0))</f>
        <v>92</v>
      </c>
      <c r="U32" s="12">
        <v>34</v>
      </c>
      <c r="V32" s="34"/>
      <c r="W32" s="26"/>
    </row>
    <row r="33" spans="1:23" ht="20.100000000000001" customHeight="1" x14ac:dyDescent="0.4">
      <c r="A33" s="9" t="s">
        <v>39</v>
      </c>
      <c r="B33" s="25" t="s">
        <v>163</v>
      </c>
      <c r="C33" s="11" t="s">
        <v>55</v>
      </c>
      <c r="D33" s="12">
        <v>1102</v>
      </c>
      <c r="E33" s="12">
        <v>895</v>
      </c>
      <c r="F33" s="12">
        <f>N(E33)*(1+설정!$B$3)</f>
        <v>1011.3499999999999</v>
      </c>
      <c r="G33" s="12">
        <f t="shared" si="0"/>
        <v>90.650000000000091</v>
      </c>
      <c r="H33" s="13">
        <f t="shared" si="1"/>
        <v>8.2259528130671583E-2</v>
      </c>
      <c r="I33" s="12">
        <v>949</v>
      </c>
      <c r="J33" s="12"/>
      <c r="K33" s="12">
        <f t="shared" si="2"/>
        <v>949</v>
      </c>
      <c r="L33" s="12">
        <v>1164</v>
      </c>
      <c r="M33" s="12"/>
      <c r="N33" s="12">
        <v>480</v>
      </c>
      <c r="O33" s="12">
        <f t="shared" si="3"/>
        <v>822</v>
      </c>
      <c r="P33" s="12">
        <f>ROUND(O33*설정!$B$5,0)</f>
        <v>986</v>
      </c>
      <c r="Q33" s="12">
        <f t="shared" si="4"/>
        <v>37</v>
      </c>
      <c r="R33" s="10" t="str">
        <f t="shared" si="5"/>
        <v>⚠ 부족</v>
      </c>
      <c r="S33" s="12">
        <f t="shared" si="6"/>
        <v>34.635036496350367</v>
      </c>
      <c r="T33" s="12">
        <f>MAX(0,ROUND(N(P33)*설정!$B$4-N(K33),0))</f>
        <v>1023</v>
      </c>
      <c r="U33" s="12">
        <v>43</v>
      </c>
      <c r="V33" s="34"/>
      <c r="W33" s="26"/>
    </row>
    <row r="34" spans="1:23" ht="20.100000000000001" customHeight="1" x14ac:dyDescent="0.4">
      <c r="A34" s="9" t="s">
        <v>39</v>
      </c>
      <c r="B34" s="25" t="s">
        <v>163</v>
      </c>
      <c r="C34" s="11" t="s">
        <v>56</v>
      </c>
      <c r="D34" s="12">
        <v>406</v>
      </c>
      <c r="E34" s="12">
        <v>260</v>
      </c>
      <c r="F34" s="12">
        <f>N(E34)*(1+설정!$B$3)</f>
        <v>293.79999999999995</v>
      </c>
      <c r="G34" s="12">
        <f t="shared" ref="G34:G65" si="7">N(D34)-F34</f>
        <v>112.20000000000005</v>
      </c>
      <c r="H34" s="13">
        <f t="shared" ref="H34:H65" si="8">IF(N(D34)=0,"-",G34/N(D34))</f>
        <v>0.27635467980295575</v>
      </c>
      <c r="I34" s="12">
        <v>0</v>
      </c>
      <c r="J34" s="12"/>
      <c r="K34" s="12">
        <f t="shared" ref="K34:K65" si="9">N(I34)+N(J34)</f>
        <v>0</v>
      </c>
      <c r="L34" s="12"/>
      <c r="M34" s="12"/>
      <c r="N34" s="12"/>
      <c r="O34" s="12">
        <f t="shared" ref="O34:O65" si="10">IF(COUNT(L34,M34,N34)=0,0,AVERAGE(L34,M34,N34))</f>
        <v>0</v>
      </c>
      <c r="P34" s="12">
        <f>ROUND(O34*설정!$B$5,0)</f>
        <v>0</v>
      </c>
      <c r="Q34" s="12">
        <f t="shared" ref="Q34:Q65" si="11">MAX(0,N(P34)-N(K34))</f>
        <v>0</v>
      </c>
      <c r="R34" s="10" t="str">
        <f t="shared" ref="R34:R65" si="12">IF(N(K34)&lt;N(P34),"⚠ 부족","OK")</f>
        <v>OK</v>
      </c>
      <c r="S34" s="12" t="str">
        <f t="shared" ref="S34:S65" si="13">IF(O34=0,"-",K34/(O34/30))</f>
        <v>-</v>
      </c>
      <c r="T34" s="12">
        <f>MAX(0,ROUND(N(P34)*설정!$B$4-N(K34),0))</f>
        <v>0</v>
      </c>
      <c r="U34" s="12">
        <v>11</v>
      </c>
      <c r="V34" s="34"/>
      <c r="W34" s="26"/>
    </row>
    <row r="35" spans="1:23" ht="20.100000000000001" customHeight="1" x14ac:dyDescent="0.4">
      <c r="A35" s="9" t="s">
        <v>39</v>
      </c>
      <c r="B35" s="25" t="s">
        <v>163</v>
      </c>
      <c r="C35" s="11" t="s">
        <v>57</v>
      </c>
      <c r="D35" s="12">
        <v>2922</v>
      </c>
      <c r="E35" s="12">
        <v>1900</v>
      </c>
      <c r="F35" s="12">
        <f>N(E35)*(1+설정!$B$3)</f>
        <v>2147</v>
      </c>
      <c r="G35" s="12">
        <f t="shared" si="7"/>
        <v>775</v>
      </c>
      <c r="H35" s="13">
        <f t="shared" si="8"/>
        <v>0.26522929500342229</v>
      </c>
      <c r="I35" s="12">
        <v>404</v>
      </c>
      <c r="J35" s="12"/>
      <c r="K35" s="12">
        <f t="shared" si="9"/>
        <v>404</v>
      </c>
      <c r="L35" s="12">
        <v>46</v>
      </c>
      <c r="M35" s="12">
        <v>42</v>
      </c>
      <c r="N35" s="12"/>
      <c r="O35" s="12">
        <f t="shared" si="10"/>
        <v>44</v>
      </c>
      <c r="P35" s="12">
        <f>ROUND(O35*설정!$B$5,0)</f>
        <v>53</v>
      </c>
      <c r="Q35" s="12">
        <f t="shared" si="11"/>
        <v>0</v>
      </c>
      <c r="R35" s="10" t="str">
        <f t="shared" si="12"/>
        <v>OK</v>
      </c>
      <c r="S35" s="12">
        <f t="shared" si="13"/>
        <v>275.4545454545455</v>
      </c>
      <c r="T35" s="12">
        <f>MAX(0,ROUND(N(P35)*설정!$B$4-N(K35),0))</f>
        <v>0</v>
      </c>
      <c r="U35" s="12"/>
      <c r="V35" s="34"/>
      <c r="W35" s="26"/>
    </row>
    <row r="36" spans="1:23" ht="20.100000000000001" customHeight="1" x14ac:dyDescent="0.4">
      <c r="A36" s="9" t="s">
        <v>39</v>
      </c>
      <c r="B36" s="25" t="s">
        <v>163</v>
      </c>
      <c r="C36" s="11" t="s">
        <v>158</v>
      </c>
      <c r="D36" s="12">
        <v>6825</v>
      </c>
      <c r="E36" s="12">
        <v>3900</v>
      </c>
      <c r="F36" s="12">
        <f>N(E36)*(1+설정!$B$3)</f>
        <v>4407</v>
      </c>
      <c r="G36" s="12">
        <f t="shared" si="7"/>
        <v>2418</v>
      </c>
      <c r="H36" s="13">
        <f t="shared" si="8"/>
        <v>0.35428571428571426</v>
      </c>
      <c r="I36" s="12">
        <v>11</v>
      </c>
      <c r="J36" s="12"/>
      <c r="K36" s="12">
        <f t="shared" si="9"/>
        <v>11</v>
      </c>
      <c r="L36" s="12">
        <v>243</v>
      </c>
      <c r="M36" s="12">
        <v>206</v>
      </c>
      <c r="N36" s="12" t="s">
        <v>230</v>
      </c>
      <c r="O36" s="12">
        <f t="shared" si="10"/>
        <v>224.5</v>
      </c>
      <c r="P36" s="12">
        <f>ROUND(O36*설정!$B$5,0)</f>
        <v>269</v>
      </c>
      <c r="Q36" s="12">
        <f t="shared" si="11"/>
        <v>258</v>
      </c>
      <c r="R36" s="10" t="str">
        <f t="shared" si="12"/>
        <v>⚠ 부족</v>
      </c>
      <c r="S36" s="12">
        <f t="shared" si="13"/>
        <v>1.4699331848552339</v>
      </c>
      <c r="T36" s="12">
        <f>MAX(0,ROUND(N(P36)*설정!$B$4-N(K36),0))</f>
        <v>527</v>
      </c>
      <c r="U36" s="12"/>
      <c r="V36" s="34"/>
      <c r="W36" s="26"/>
    </row>
    <row r="37" spans="1:23" ht="20.100000000000001" customHeight="1" x14ac:dyDescent="0.4">
      <c r="A37" s="9" t="s">
        <v>39</v>
      </c>
      <c r="B37" s="25" t="s">
        <v>163</v>
      </c>
      <c r="C37" s="11" t="s">
        <v>58</v>
      </c>
      <c r="D37" s="12">
        <v>4826</v>
      </c>
      <c r="E37" s="12">
        <v>2200</v>
      </c>
      <c r="F37" s="12">
        <f>N(E37)*(1+설정!$B$3)</f>
        <v>2485.9999999999995</v>
      </c>
      <c r="G37" s="12">
        <f t="shared" si="7"/>
        <v>2340.0000000000005</v>
      </c>
      <c r="H37" s="13">
        <f t="shared" si="8"/>
        <v>0.48487360132615009</v>
      </c>
      <c r="I37" s="12">
        <v>47</v>
      </c>
      <c r="J37" s="12"/>
      <c r="K37" s="12">
        <f t="shared" si="9"/>
        <v>47</v>
      </c>
      <c r="L37" s="12"/>
      <c r="M37" s="12"/>
      <c r="N37" s="12">
        <v>3</v>
      </c>
      <c r="O37" s="12">
        <f t="shared" si="10"/>
        <v>3</v>
      </c>
      <c r="P37" s="12">
        <f>ROUND(O37*설정!$B$5,0)</f>
        <v>4</v>
      </c>
      <c r="Q37" s="12">
        <f t="shared" si="11"/>
        <v>0</v>
      </c>
      <c r="R37" s="10" t="str">
        <f t="shared" si="12"/>
        <v>OK</v>
      </c>
      <c r="S37" s="12">
        <f t="shared" si="13"/>
        <v>470</v>
      </c>
      <c r="T37" s="12">
        <f>MAX(0,ROUND(N(P37)*설정!$B$4-N(K37),0))</f>
        <v>0</v>
      </c>
      <c r="U37" s="12"/>
      <c r="V37" s="34"/>
      <c r="W37" s="26"/>
    </row>
    <row r="38" spans="1:23" ht="20.100000000000001" customHeight="1" x14ac:dyDescent="0.4">
      <c r="A38" s="9" t="s">
        <v>39</v>
      </c>
      <c r="B38" s="25" t="s">
        <v>163</v>
      </c>
      <c r="C38" s="11" t="s">
        <v>60</v>
      </c>
      <c r="D38" s="12">
        <v>1238</v>
      </c>
      <c r="E38" s="12">
        <v>830</v>
      </c>
      <c r="F38" s="12">
        <f>N(E38)*(1+설정!$B$3)</f>
        <v>937.89999999999986</v>
      </c>
      <c r="G38" s="12">
        <f t="shared" si="7"/>
        <v>300.10000000000014</v>
      </c>
      <c r="H38" s="13">
        <f t="shared" si="8"/>
        <v>0.24240710823909542</v>
      </c>
      <c r="I38" s="12">
        <v>532</v>
      </c>
      <c r="J38" s="12"/>
      <c r="K38" s="12">
        <f t="shared" si="9"/>
        <v>532</v>
      </c>
      <c r="L38" s="12"/>
      <c r="M38" s="12"/>
      <c r="N38" s="12"/>
      <c r="O38" s="12">
        <f t="shared" si="10"/>
        <v>0</v>
      </c>
      <c r="P38" s="12">
        <f>ROUND(O38*설정!$B$5,0)</f>
        <v>0</v>
      </c>
      <c r="Q38" s="12">
        <f t="shared" si="11"/>
        <v>0</v>
      </c>
      <c r="R38" s="10" t="str">
        <f t="shared" si="12"/>
        <v>OK</v>
      </c>
      <c r="S38" s="12" t="str">
        <f t="shared" si="13"/>
        <v>-</v>
      </c>
      <c r="T38" s="12">
        <f>MAX(0,ROUND(N(P38)*설정!$B$4-N(K38),0))</f>
        <v>0</v>
      </c>
      <c r="U38" s="12"/>
      <c r="V38" s="34"/>
      <c r="W38" s="26"/>
    </row>
    <row r="39" spans="1:23" ht="20.100000000000001" customHeight="1" x14ac:dyDescent="0.4">
      <c r="A39" s="9" t="s">
        <v>39</v>
      </c>
      <c r="B39" s="25" t="s">
        <v>163</v>
      </c>
      <c r="C39" s="11" t="s">
        <v>61</v>
      </c>
      <c r="D39" s="12">
        <v>1328</v>
      </c>
      <c r="E39" s="12">
        <v>970</v>
      </c>
      <c r="F39" s="12">
        <f>N(E39)*(1+설정!$B$3)</f>
        <v>1096.0999999999999</v>
      </c>
      <c r="G39" s="12">
        <f t="shared" si="7"/>
        <v>231.90000000000009</v>
      </c>
      <c r="H39" s="13">
        <f t="shared" si="8"/>
        <v>0.17462349397590368</v>
      </c>
      <c r="I39" s="12">
        <v>0</v>
      </c>
      <c r="J39" s="12">
        <v>4800</v>
      </c>
      <c r="K39" s="12">
        <f t="shared" si="9"/>
        <v>4800</v>
      </c>
      <c r="L39" s="12"/>
      <c r="M39" s="12">
        <v>21</v>
      </c>
      <c r="N39" s="12"/>
      <c r="O39" s="12">
        <f t="shared" si="10"/>
        <v>21</v>
      </c>
      <c r="P39" s="12">
        <f>ROUND(O39*설정!$B$5,0)</f>
        <v>25</v>
      </c>
      <c r="Q39" s="12">
        <f t="shared" si="11"/>
        <v>0</v>
      </c>
      <c r="R39" s="10" t="str">
        <f t="shared" si="12"/>
        <v>OK</v>
      </c>
      <c r="S39" s="12">
        <f t="shared" si="13"/>
        <v>6857.1428571428578</v>
      </c>
      <c r="T39" s="12">
        <f>MAX(0,ROUND(N(P39)*설정!$B$4-N(K39),0))</f>
        <v>0</v>
      </c>
      <c r="U39" s="12"/>
      <c r="V39" s="34"/>
      <c r="W39" s="26"/>
    </row>
    <row r="40" spans="1:23" ht="20.100000000000001" customHeight="1" x14ac:dyDescent="0.4">
      <c r="A40" s="9" t="s">
        <v>39</v>
      </c>
      <c r="B40" s="25" t="s">
        <v>163</v>
      </c>
      <c r="C40" s="11" t="s">
        <v>62</v>
      </c>
      <c r="D40" s="12">
        <v>2340</v>
      </c>
      <c r="E40" s="12">
        <v>1800</v>
      </c>
      <c r="F40" s="12">
        <f>N(E40)*(1+설정!$B$3)</f>
        <v>2033.9999999999998</v>
      </c>
      <c r="G40" s="12">
        <f t="shared" si="7"/>
        <v>306.00000000000023</v>
      </c>
      <c r="H40" s="13">
        <f t="shared" si="8"/>
        <v>0.13076923076923086</v>
      </c>
      <c r="I40" s="12">
        <v>1400</v>
      </c>
      <c r="J40" s="12"/>
      <c r="K40" s="12">
        <f t="shared" si="9"/>
        <v>1400</v>
      </c>
      <c r="L40" s="12"/>
      <c r="M40" s="12"/>
      <c r="N40" s="12"/>
      <c r="O40" s="12">
        <f t="shared" si="10"/>
        <v>0</v>
      </c>
      <c r="P40" s="12">
        <f>ROUND(O40*설정!$B$5,0)</f>
        <v>0</v>
      </c>
      <c r="Q40" s="12">
        <f t="shared" si="11"/>
        <v>0</v>
      </c>
      <c r="R40" s="10" t="str">
        <f t="shared" si="12"/>
        <v>OK</v>
      </c>
      <c r="S40" s="12" t="str">
        <f t="shared" si="13"/>
        <v>-</v>
      </c>
      <c r="T40" s="12">
        <f>MAX(0,ROUND(N(P40)*설정!$B$4-N(K40),0))</f>
        <v>0</v>
      </c>
      <c r="U40" s="12"/>
      <c r="V40" s="34"/>
      <c r="W40" s="26"/>
    </row>
    <row r="41" spans="1:23" ht="20.100000000000001" customHeight="1" x14ac:dyDescent="0.4">
      <c r="A41" s="9" t="s">
        <v>39</v>
      </c>
      <c r="B41" s="25" t="s">
        <v>163</v>
      </c>
      <c r="C41" s="11" t="s">
        <v>63</v>
      </c>
      <c r="D41" s="12">
        <v>162</v>
      </c>
      <c r="E41" s="12">
        <v>115</v>
      </c>
      <c r="F41" s="12">
        <f>N(E41)*(1+설정!$B$3)</f>
        <v>129.94999999999999</v>
      </c>
      <c r="G41" s="12">
        <f t="shared" si="7"/>
        <v>32.050000000000011</v>
      </c>
      <c r="H41" s="13">
        <f t="shared" si="8"/>
        <v>0.19783950617283957</v>
      </c>
      <c r="I41" s="12">
        <v>1219</v>
      </c>
      <c r="J41" s="12"/>
      <c r="K41" s="12">
        <f t="shared" si="9"/>
        <v>1219</v>
      </c>
      <c r="L41" s="12"/>
      <c r="M41" s="12"/>
      <c r="N41" s="12">
        <v>1480</v>
      </c>
      <c r="O41" s="12">
        <f t="shared" si="10"/>
        <v>1480</v>
      </c>
      <c r="P41" s="12">
        <f>ROUND(O41*설정!$B$5,0)</f>
        <v>1776</v>
      </c>
      <c r="Q41" s="12">
        <f t="shared" si="11"/>
        <v>557</v>
      </c>
      <c r="R41" s="10" t="str">
        <f t="shared" si="12"/>
        <v>⚠ 부족</v>
      </c>
      <c r="S41" s="12">
        <f t="shared" si="13"/>
        <v>24.70945945945946</v>
      </c>
      <c r="T41" s="12">
        <f>MAX(0,ROUND(N(P41)*설정!$B$4-N(K41),0))</f>
        <v>2333</v>
      </c>
      <c r="U41" s="12"/>
      <c r="V41" s="34"/>
      <c r="W41" s="26"/>
    </row>
    <row r="42" spans="1:23" ht="20.100000000000001" customHeight="1" x14ac:dyDescent="0.4">
      <c r="A42" s="9" t="s">
        <v>39</v>
      </c>
      <c r="B42" s="25" t="s">
        <v>163</v>
      </c>
      <c r="C42" s="11" t="s">
        <v>64</v>
      </c>
      <c r="D42" s="12">
        <v>1316</v>
      </c>
      <c r="E42" s="12">
        <v>1000</v>
      </c>
      <c r="F42" s="12">
        <f>N(E42)*(1+설정!$B$3)</f>
        <v>1130</v>
      </c>
      <c r="G42" s="12">
        <f t="shared" si="7"/>
        <v>186</v>
      </c>
      <c r="H42" s="13">
        <f t="shared" si="8"/>
        <v>0.14133738601823709</v>
      </c>
      <c r="I42" s="12">
        <v>194</v>
      </c>
      <c r="J42" s="12"/>
      <c r="K42" s="12">
        <f t="shared" si="9"/>
        <v>194</v>
      </c>
      <c r="L42" s="12"/>
      <c r="M42" s="12"/>
      <c r="N42" s="12">
        <v>90</v>
      </c>
      <c r="O42" s="12">
        <f t="shared" si="10"/>
        <v>90</v>
      </c>
      <c r="P42" s="12">
        <f>ROUND(O42*설정!$B$5,0)</f>
        <v>108</v>
      </c>
      <c r="Q42" s="12">
        <f t="shared" si="11"/>
        <v>0</v>
      </c>
      <c r="R42" s="10" t="str">
        <f t="shared" si="12"/>
        <v>OK</v>
      </c>
      <c r="S42" s="12">
        <f t="shared" si="13"/>
        <v>64.666666666666671</v>
      </c>
      <c r="T42" s="12">
        <f>MAX(0,ROUND(N(P42)*설정!$B$4-N(K42),0))</f>
        <v>22</v>
      </c>
      <c r="U42" s="12"/>
      <c r="V42" s="34"/>
      <c r="W42" s="26"/>
    </row>
    <row r="43" spans="1:23" ht="20.100000000000001" customHeight="1" x14ac:dyDescent="0.4">
      <c r="A43" s="9" t="s">
        <v>39</v>
      </c>
      <c r="B43" s="25" t="s">
        <v>163</v>
      </c>
      <c r="C43" s="11" t="s">
        <v>65</v>
      </c>
      <c r="D43" s="12">
        <v>1170</v>
      </c>
      <c r="E43" s="12">
        <v>860</v>
      </c>
      <c r="F43" s="12">
        <f>N(E43)*(1+설정!$B$3)</f>
        <v>971.8</v>
      </c>
      <c r="G43" s="12">
        <f t="shared" si="7"/>
        <v>198.20000000000005</v>
      </c>
      <c r="H43" s="13">
        <f t="shared" si="8"/>
        <v>0.16940170940170943</v>
      </c>
      <c r="I43" s="12">
        <v>3909</v>
      </c>
      <c r="J43" s="12"/>
      <c r="K43" s="12">
        <f t="shared" si="9"/>
        <v>3909</v>
      </c>
      <c r="L43" s="12"/>
      <c r="M43" s="12"/>
      <c r="N43" s="12"/>
      <c r="O43" s="12">
        <f t="shared" si="10"/>
        <v>0</v>
      </c>
      <c r="P43" s="12">
        <f>ROUND(O43*설정!$B$5,0)</f>
        <v>0</v>
      </c>
      <c r="Q43" s="12">
        <f t="shared" si="11"/>
        <v>0</v>
      </c>
      <c r="R43" s="10" t="str">
        <f t="shared" si="12"/>
        <v>OK</v>
      </c>
      <c r="S43" s="12" t="str">
        <f t="shared" si="13"/>
        <v>-</v>
      </c>
      <c r="T43" s="12">
        <f>MAX(0,ROUND(N(P43)*설정!$B$4-N(K43),0))</f>
        <v>0</v>
      </c>
      <c r="U43" s="12">
        <v>108</v>
      </c>
      <c r="V43" s="34"/>
      <c r="W43" s="26"/>
    </row>
    <row r="44" spans="1:23" ht="20.100000000000001" customHeight="1" x14ac:dyDescent="0.4">
      <c r="A44" s="9" t="s">
        <v>39</v>
      </c>
      <c r="B44" s="25" t="s">
        <v>163</v>
      </c>
      <c r="C44" s="11" t="s">
        <v>66</v>
      </c>
      <c r="D44" s="12">
        <v>1365</v>
      </c>
      <c r="E44" s="12">
        <v>1030</v>
      </c>
      <c r="F44" s="12">
        <f>N(E44)*(1+설정!$B$3)</f>
        <v>1163.8999999999999</v>
      </c>
      <c r="G44" s="12">
        <f t="shared" si="7"/>
        <v>201.10000000000014</v>
      </c>
      <c r="H44" s="13">
        <f t="shared" si="8"/>
        <v>0.14732600732600742</v>
      </c>
      <c r="I44" s="12">
        <v>2433</v>
      </c>
      <c r="J44" s="12"/>
      <c r="K44" s="12">
        <f t="shared" si="9"/>
        <v>2433</v>
      </c>
      <c r="L44" s="12">
        <v>260</v>
      </c>
      <c r="M44" s="12">
        <v>216</v>
      </c>
      <c r="N44" s="12"/>
      <c r="O44" s="12">
        <f t="shared" si="10"/>
        <v>238</v>
      </c>
      <c r="P44" s="12">
        <f>ROUND(O44*설정!$B$5,0)</f>
        <v>286</v>
      </c>
      <c r="Q44" s="12">
        <f t="shared" si="11"/>
        <v>0</v>
      </c>
      <c r="R44" s="10" t="str">
        <f t="shared" si="12"/>
        <v>OK</v>
      </c>
      <c r="S44" s="12">
        <f t="shared" si="13"/>
        <v>306.68067226890753</v>
      </c>
      <c r="T44" s="12">
        <f>MAX(0,ROUND(N(P44)*설정!$B$4-N(K44),0))</f>
        <v>0</v>
      </c>
      <c r="U44" s="12"/>
      <c r="V44" s="34"/>
      <c r="W44" s="26"/>
    </row>
    <row r="45" spans="1:23" ht="20.100000000000001" customHeight="1" x14ac:dyDescent="0.4">
      <c r="A45" s="9" t="s">
        <v>39</v>
      </c>
      <c r="B45" s="25" t="s">
        <v>163</v>
      </c>
      <c r="C45" s="11" t="s">
        <v>67</v>
      </c>
      <c r="D45" s="12">
        <v>2343</v>
      </c>
      <c r="E45" s="12">
        <v>1800</v>
      </c>
      <c r="F45" s="12">
        <f>N(E45)*(1+설정!$B$3)</f>
        <v>2033.9999999999998</v>
      </c>
      <c r="G45" s="12">
        <f t="shared" si="7"/>
        <v>309.00000000000023</v>
      </c>
      <c r="H45" s="13">
        <f t="shared" si="8"/>
        <v>0.1318822023047376</v>
      </c>
      <c r="I45" s="12">
        <v>60</v>
      </c>
      <c r="J45" s="12">
        <v>5760</v>
      </c>
      <c r="K45" s="12">
        <f t="shared" si="9"/>
        <v>5820</v>
      </c>
      <c r="L45" s="12">
        <v>96</v>
      </c>
      <c r="M45" s="12">
        <v>88</v>
      </c>
      <c r="N45" s="12">
        <v>104</v>
      </c>
      <c r="O45" s="12">
        <f t="shared" si="10"/>
        <v>96</v>
      </c>
      <c r="P45" s="12">
        <f>ROUND(O45*설정!$B$5,0)</f>
        <v>115</v>
      </c>
      <c r="Q45" s="12">
        <f t="shared" si="11"/>
        <v>0</v>
      </c>
      <c r="R45" s="10" t="str">
        <f t="shared" si="12"/>
        <v>OK</v>
      </c>
      <c r="S45" s="12">
        <f t="shared" si="13"/>
        <v>1818.75</v>
      </c>
      <c r="T45" s="12">
        <f>MAX(0,ROUND(N(P45)*설정!$B$4-N(K45),0))</f>
        <v>0</v>
      </c>
      <c r="U45" s="12">
        <v>41</v>
      </c>
      <c r="V45" s="34"/>
      <c r="W45" s="26"/>
    </row>
    <row r="46" spans="1:23" ht="20.100000000000001" customHeight="1" x14ac:dyDescent="0.4">
      <c r="A46" s="9" t="s">
        <v>39</v>
      </c>
      <c r="B46" s="25" t="s">
        <v>163</v>
      </c>
      <c r="C46" s="11" t="s">
        <v>159</v>
      </c>
      <c r="D46" s="12">
        <v>1102</v>
      </c>
      <c r="E46" s="12">
        <v>860</v>
      </c>
      <c r="F46" s="12">
        <f>N(E46)*(1+설정!$B$3)</f>
        <v>971.8</v>
      </c>
      <c r="G46" s="12">
        <f t="shared" si="7"/>
        <v>130.20000000000005</v>
      </c>
      <c r="H46" s="13">
        <f t="shared" si="8"/>
        <v>0.11814882032667881</v>
      </c>
      <c r="I46" s="12">
        <v>842</v>
      </c>
      <c r="J46" s="12"/>
      <c r="K46" s="12">
        <f t="shared" si="9"/>
        <v>842</v>
      </c>
      <c r="L46" s="12">
        <v>304</v>
      </c>
      <c r="M46" s="12">
        <v>168</v>
      </c>
      <c r="N46" s="12"/>
      <c r="O46" s="12">
        <f t="shared" si="10"/>
        <v>236</v>
      </c>
      <c r="P46" s="12">
        <f>ROUND(O46*설정!$B$5,0)</f>
        <v>283</v>
      </c>
      <c r="Q46" s="12">
        <f t="shared" si="11"/>
        <v>0</v>
      </c>
      <c r="R46" s="10" t="str">
        <f t="shared" si="12"/>
        <v>OK</v>
      </c>
      <c r="S46" s="12">
        <f t="shared" si="13"/>
        <v>107.03389830508475</v>
      </c>
      <c r="T46" s="12">
        <f>MAX(0,ROUND(N(P46)*설정!$B$4-N(K46),0))</f>
        <v>0</v>
      </c>
      <c r="U46" s="12"/>
      <c r="V46" s="34"/>
      <c r="W46" s="26"/>
    </row>
    <row r="47" spans="1:23" ht="20.100000000000001" customHeight="1" x14ac:dyDescent="0.4">
      <c r="A47" s="9" t="s">
        <v>39</v>
      </c>
      <c r="B47" s="25" t="s">
        <v>163</v>
      </c>
      <c r="C47" s="11" t="s">
        <v>156</v>
      </c>
      <c r="D47" s="12">
        <v>1073</v>
      </c>
      <c r="E47" s="12">
        <v>600</v>
      </c>
      <c r="F47" s="12">
        <f>N(E47)*(1+설정!$B$3)</f>
        <v>677.99999999999989</v>
      </c>
      <c r="G47" s="12">
        <f t="shared" si="7"/>
        <v>395.00000000000011</v>
      </c>
      <c r="H47" s="13">
        <f t="shared" si="8"/>
        <v>0.36812674743709239</v>
      </c>
      <c r="I47" s="12">
        <v>4325</v>
      </c>
      <c r="J47" s="12"/>
      <c r="K47" s="12">
        <f t="shared" si="9"/>
        <v>4325</v>
      </c>
      <c r="L47" s="12"/>
      <c r="M47" s="12">
        <v>2820</v>
      </c>
      <c r="N47" s="12"/>
      <c r="O47" s="12">
        <f t="shared" si="10"/>
        <v>2820</v>
      </c>
      <c r="P47" s="12">
        <f>ROUND(O47*설정!$B$5,0)</f>
        <v>3384</v>
      </c>
      <c r="Q47" s="12">
        <f t="shared" si="11"/>
        <v>0</v>
      </c>
      <c r="R47" s="10" t="str">
        <f t="shared" si="12"/>
        <v>OK</v>
      </c>
      <c r="S47" s="12">
        <f t="shared" si="13"/>
        <v>46.01063829787234</v>
      </c>
      <c r="T47" s="12">
        <f>MAX(0,ROUND(N(P47)*설정!$B$4-N(K47),0))</f>
        <v>2443</v>
      </c>
      <c r="U47" s="12"/>
      <c r="V47" s="34"/>
      <c r="W47" s="26"/>
    </row>
    <row r="48" spans="1:23" ht="20.100000000000001" customHeight="1" x14ac:dyDescent="0.4">
      <c r="A48" s="9" t="s">
        <v>39</v>
      </c>
      <c r="B48" s="25" t="s">
        <v>163</v>
      </c>
      <c r="C48" s="11" t="s">
        <v>157</v>
      </c>
      <c r="D48" s="12">
        <v>34</v>
      </c>
      <c r="E48" s="12">
        <v>28</v>
      </c>
      <c r="F48" s="12">
        <f>N(E48)*(1+설정!$B$3)</f>
        <v>31.639999999999997</v>
      </c>
      <c r="G48" s="12">
        <f t="shared" si="7"/>
        <v>2.360000000000003</v>
      </c>
      <c r="H48" s="13">
        <f t="shared" si="8"/>
        <v>6.9411764705882437E-2</v>
      </c>
      <c r="I48" s="12">
        <v>0</v>
      </c>
      <c r="J48" s="12"/>
      <c r="K48" s="12">
        <f t="shared" si="9"/>
        <v>0</v>
      </c>
      <c r="L48" s="12">
        <v>2240</v>
      </c>
      <c r="M48" s="12">
        <v>6720</v>
      </c>
      <c r="N48" s="12">
        <v>320</v>
      </c>
      <c r="O48" s="12">
        <f t="shared" si="10"/>
        <v>3093.3333333333335</v>
      </c>
      <c r="P48" s="12">
        <f>ROUND(O48*설정!$B$5,0)</f>
        <v>3712</v>
      </c>
      <c r="Q48" s="12">
        <f t="shared" si="11"/>
        <v>3712</v>
      </c>
      <c r="R48" s="10" t="str">
        <f t="shared" si="12"/>
        <v>⚠ 부족</v>
      </c>
      <c r="S48" s="12">
        <f t="shared" si="13"/>
        <v>0</v>
      </c>
      <c r="T48" s="12">
        <f>MAX(0,ROUND(N(P48)*설정!$B$4-N(K48),0))</f>
        <v>7424</v>
      </c>
      <c r="U48" s="12"/>
      <c r="V48" s="34"/>
      <c r="W48" s="26"/>
    </row>
    <row r="49" spans="1:23" ht="20.100000000000001" customHeight="1" x14ac:dyDescent="0.4">
      <c r="A49" s="9" t="s">
        <v>39</v>
      </c>
      <c r="B49" s="25" t="s">
        <v>163</v>
      </c>
      <c r="C49" s="11" t="s">
        <v>68</v>
      </c>
      <c r="D49" s="12">
        <v>3200</v>
      </c>
      <c r="E49" s="12">
        <v>2750</v>
      </c>
      <c r="F49" s="12">
        <f>N(E49)*(1+설정!$B$3)</f>
        <v>3107.4999999999995</v>
      </c>
      <c r="G49" s="12">
        <f t="shared" si="7"/>
        <v>92.500000000000455</v>
      </c>
      <c r="H49" s="13">
        <f t="shared" si="8"/>
        <v>2.8906250000000144E-2</v>
      </c>
      <c r="I49" s="12">
        <v>128</v>
      </c>
      <c r="J49" s="12"/>
      <c r="K49" s="12">
        <f t="shared" si="9"/>
        <v>128</v>
      </c>
      <c r="L49" s="12"/>
      <c r="M49" s="12"/>
      <c r="N49" s="12"/>
      <c r="O49" s="12">
        <f t="shared" si="10"/>
        <v>0</v>
      </c>
      <c r="P49" s="12">
        <f>ROUND(O49*설정!$B$5,0)</f>
        <v>0</v>
      </c>
      <c r="Q49" s="12">
        <f t="shared" si="11"/>
        <v>0</v>
      </c>
      <c r="R49" s="10" t="str">
        <f t="shared" si="12"/>
        <v>OK</v>
      </c>
      <c r="S49" s="12" t="str">
        <f t="shared" si="13"/>
        <v>-</v>
      </c>
      <c r="T49" s="12">
        <f>MAX(0,ROUND(N(P49)*설정!$B$4-N(K49),0))</f>
        <v>0</v>
      </c>
      <c r="U49" s="12"/>
      <c r="V49" s="34"/>
      <c r="W49" s="26"/>
    </row>
    <row r="50" spans="1:23" ht="20.100000000000001" customHeight="1" x14ac:dyDescent="0.4">
      <c r="A50" s="9" t="s">
        <v>39</v>
      </c>
      <c r="B50" s="25" t="s">
        <v>163</v>
      </c>
      <c r="C50" s="11" t="s">
        <v>69</v>
      </c>
      <c r="D50" s="12">
        <v>686</v>
      </c>
      <c r="E50" s="12">
        <v>420</v>
      </c>
      <c r="F50" s="12">
        <f>N(E50)*(1+설정!$B$3)</f>
        <v>474.59999999999997</v>
      </c>
      <c r="G50" s="12">
        <f t="shared" si="7"/>
        <v>211.40000000000003</v>
      </c>
      <c r="H50" s="13">
        <f t="shared" si="8"/>
        <v>0.30816326530612248</v>
      </c>
      <c r="I50" s="12">
        <v>401</v>
      </c>
      <c r="J50" s="12"/>
      <c r="K50" s="12">
        <f t="shared" si="9"/>
        <v>401</v>
      </c>
      <c r="L50" s="12">
        <v>24</v>
      </c>
      <c r="M50" s="12">
        <v>6</v>
      </c>
      <c r="N50" s="12">
        <v>168</v>
      </c>
      <c r="O50" s="12">
        <f t="shared" si="10"/>
        <v>66</v>
      </c>
      <c r="P50" s="12">
        <f>ROUND(O50*설정!$B$5,0)</f>
        <v>79</v>
      </c>
      <c r="Q50" s="12">
        <f t="shared" si="11"/>
        <v>0</v>
      </c>
      <c r="R50" s="10" t="str">
        <f t="shared" si="12"/>
        <v>OK</v>
      </c>
      <c r="S50" s="12">
        <f t="shared" si="13"/>
        <v>182.27272727272725</v>
      </c>
      <c r="T50" s="12">
        <f>MAX(0,ROUND(N(P50)*설정!$B$4-N(K50),0))</f>
        <v>0</v>
      </c>
      <c r="U50" s="12"/>
      <c r="V50" s="34"/>
      <c r="W50" s="26"/>
    </row>
    <row r="51" spans="1:23" ht="20.100000000000001" customHeight="1" x14ac:dyDescent="0.4">
      <c r="A51" s="9" t="s">
        <v>39</v>
      </c>
      <c r="B51" s="25" t="s">
        <v>163</v>
      </c>
      <c r="C51" s="11" t="s">
        <v>70</v>
      </c>
      <c r="D51" s="12">
        <v>561</v>
      </c>
      <c r="E51" s="12">
        <v>450</v>
      </c>
      <c r="F51" s="12">
        <f>N(E51)*(1+설정!$B$3)</f>
        <v>508.49999999999994</v>
      </c>
      <c r="G51" s="12">
        <f t="shared" si="7"/>
        <v>52.500000000000057</v>
      </c>
      <c r="H51" s="13">
        <f t="shared" si="8"/>
        <v>9.3582887700534856E-2</v>
      </c>
      <c r="I51" s="12">
        <v>4901</v>
      </c>
      <c r="J51" s="12"/>
      <c r="K51" s="12">
        <f t="shared" si="9"/>
        <v>4901</v>
      </c>
      <c r="L51" s="12">
        <v>153</v>
      </c>
      <c r="M51" s="12">
        <v>126</v>
      </c>
      <c r="N51" s="12">
        <v>207</v>
      </c>
      <c r="O51" s="12">
        <f t="shared" si="10"/>
        <v>162</v>
      </c>
      <c r="P51" s="12">
        <f>ROUND(O51*설정!$B$5,0)</f>
        <v>194</v>
      </c>
      <c r="Q51" s="12">
        <f t="shared" si="11"/>
        <v>0</v>
      </c>
      <c r="R51" s="10" t="str">
        <f t="shared" si="12"/>
        <v>OK</v>
      </c>
      <c r="S51" s="12">
        <f t="shared" si="13"/>
        <v>907.5925925925925</v>
      </c>
      <c r="T51" s="12">
        <f>MAX(0,ROUND(N(P51)*설정!$B$4-N(K51),0))</f>
        <v>0</v>
      </c>
      <c r="U51" s="12"/>
      <c r="V51" s="34"/>
      <c r="W51" s="26"/>
    </row>
    <row r="52" spans="1:23" ht="20.100000000000001" customHeight="1" x14ac:dyDescent="0.4">
      <c r="A52" s="9" t="s">
        <v>39</v>
      </c>
      <c r="B52" s="25" t="s">
        <v>163</v>
      </c>
      <c r="C52" s="11" t="s">
        <v>71</v>
      </c>
      <c r="D52" s="12">
        <v>17271</v>
      </c>
      <c r="E52" s="12">
        <v>12900</v>
      </c>
      <c r="F52" s="12">
        <f>N(E52)*(1+설정!$B$3)</f>
        <v>14576.999999999998</v>
      </c>
      <c r="G52" s="12">
        <f t="shared" si="7"/>
        <v>2694.0000000000018</v>
      </c>
      <c r="H52" s="13">
        <f t="shared" si="8"/>
        <v>0.15598401945457716</v>
      </c>
      <c r="I52" s="12">
        <v>209</v>
      </c>
      <c r="J52" s="12"/>
      <c r="K52" s="12">
        <f t="shared" si="9"/>
        <v>209</v>
      </c>
      <c r="L52" s="12">
        <v>24</v>
      </c>
      <c r="M52" s="12">
        <v>29</v>
      </c>
      <c r="N52" s="12">
        <v>17</v>
      </c>
      <c r="O52" s="12">
        <f t="shared" si="10"/>
        <v>23.333333333333332</v>
      </c>
      <c r="P52" s="12">
        <f>ROUND(O52*설정!$B$5,0)</f>
        <v>28</v>
      </c>
      <c r="Q52" s="12">
        <f t="shared" si="11"/>
        <v>0</v>
      </c>
      <c r="R52" s="10" t="str">
        <f t="shared" si="12"/>
        <v>OK</v>
      </c>
      <c r="S52" s="12">
        <f t="shared" si="13"/>
        <v>268.71428571428572</v>
      </c>
      <c r="T52" s="12">
        <f>MAX(0,ROUND(N(P52)*설정!$B$4-N(K52),0))</f>
        <v>0</v>
      </c>
      <c r="U52" s="12">
        <v>15</v>
      </c>
      <c r="V52" s="34"/>
      <c r="W52" s="26"/>
    </row>
    <row r="53" spans="1:23" ht="20.100000000000001" customHeight="1" x14ac:dyDescent="0.4">
      <c r="A53" s="9" t="s">
        <v>39</v>
      </c>
      <c r="B53" s="25" t="s">
        <v>163</v>
      </c>
      <c r="C53" s="11" t="s">
        <v>160</v>
      </c>
      <c r="D53" s="12">
        <v>708</v>
      </c>
      <c r="E53" s="12">
        <v>460</v>
      </c>
      <c r="F53" s="12">
        <f>N(E53)*(1+설정!$B$3)</f>
        <v>519.79999999999995</v>
      </c>
      <c r="G53" s="12">
        <f t="shared" si="7"/>
        <v>188.20000000000005</v>
      </c>
      <c r="H53" s="13">
        <f t="shared" si="8"/>
        <v>0.26581920903954809</v>
      </c>
      <c r="I53" s="12">
        <v>223</v>
      </c>
      <c r="J53" s="12">
        <v>4320</v>
      </c>
      <c r="K53" s="12">
        <f t="shared" si="9"/>
        <v>4543</v>
      </c>
      <c r="L53" s="12">
        <v>2520</v>
      </c>
      <c r="M53" s="12">
        <v>504</v>
      </c>
      <c r="N53" s="12">
        <v>216</v>
      </c>
      <c r="O53" s="12">
        <f t="shared" si="10"/>
        <v>1080</v>
      </c>
      <c r="P53" s="12">
        <f>ROUND(O53*설정!$B$5,0)</f>
        <v>1296</v>
      </c>
      <c r="Q53" s="12">
        <f t="shared" si="11"/>
        <v>0</v>
      </c>
      <c r="R53" s="10" t="str">
        <f t="shared" si="12"/>
        <v>OK</v>
      </c>
      <c r="S53" s="12">
        <f t="shared" si="13"/>
        <v>126.19444444444444</v>
      </c>
      <c r="T53" s="12">
        <f>MAX(0,ROUND(N(P53)*설정!$B$4-N(K53),0))</f>
        <v>0</v>
      </c>
      <c r="U53" s="12"/>
      <c r="V53" s="34"/>
      <c r="W53" s="26"/>
    </row>
    <row r="54" spans="1:23" ht="20.100000000000001" customHeight="1" x14ac:dyDescent="0.4">
      <c r="A54" s="9" t="s">
        <v>39</v>
      </c>
      <c r="B54" s="25" t="s">
        <v>163</v>
      </c>
      <c r="C54" s="11" t="s">
        <v>72</v>
      </c>
      <c r="D54" s="12">
        <v>520</v>
      </c>
      <c r="E54" s="12">
        <v>390</v>
      </c>
      <c r="F54" s="12">
        <f>N(E54)*(1+설정!$B$3)</f>
        <v>440.69999999999993</v>
      </c>
      <c r="G54" s="12">
        <f t="shared" si="7"/>
        <v>79.300000000000068</v>
      </c>
      <c r="H54" s="13">
        <f t="shared" si="8"/>
        <v>0.15250000000000014</v>
      </c>
      <c r="I54" s="12">
        <v>4338</v>
      </c>
      <c r="J54" s="12"/>
      <c r="K54" s="12">
        <f t="shared" si="9"/>
        <v>4338</v>
      </c>
      <c r="L54" s="12"/>
      <c r="M54" s="12"/>
      <c r="N54" s="12"/>
      <c r="O54" s="12">
        <f t="shared" si="10"/>
        <v>0</v>
      </c>
      <c r="P54" s="12">
        <f>ROUND(O54*설정!$B$5,0)</f>
        <v>0</v>
      </c>
      <c r="Q54" s="12">
        <f t="shared" si="11"/>
        <v>0</v>
      </c>
      <c r="R54" s="10" t="str">
        <f t="shared" si="12"/>
        <v>OK</v>
      </c>
      <c r="S54" s="12" t="str">
        <f t="shared" si="13"/>
        <v>-</v>
      </c>
      <c r="T54" s="12">
        <f>MAX(0,ROUND(N(P54)*설정!$B$4-N(K54),0))</f>
        <v>0</v>
      </c>
      <c r="U54" s="12"/>
      <c r="V54" s="34"/>
      <c r="W54" s="26"/>
    </row>
    <row r="55" spans="1:23" ht="20.100000000000001" customHeight="1" x14ac:dyDescent="0.4">
      <c r="A55" s="9" t="s">
        <v>39</v>
      </c>
      <c r="B55" s="25" t="s">
        <v>163</v>
      </c>
      <c r="C55" s="11" t="s">
        <v>75</v>
      </c>
      <c r="D55" s="12">
        <v>1790</v>
      </c>
      <c r="E55" s="12">
        <v>750</v>
      </c>
      <c r="F55" s="12">
        <f>N(E55)*(1+설정!$B$3)</f>
        <v>847.49999999999989</v>
      </c>
      <c r="G55" s="12">
        <f t="shared" si="7"/>
        <v>942.50000000000011</v>
      </c>
      <c r="H55" s="13">
        <f t="shared" si="8"/>
        <v>0.52653631284916202</v>
      </c>
      <c r="I55" s="12">
        <v>749</v>
      </c>
      <c r="J55" s="12"/>
      <c r="K55" s="12">
        <f t="shared" si="9"/>
        <v>749</v>
      </c>
      <c r="L55" s="12">
        <v>462</v>
      </c>
      <c r="M55" s="12">
        <v>57</v>
      </c>
      <c r="N55" s="12">
        <v>146</v>
      </c>
      <c r="O55" s="12">
        <f t="shared" si="10"/>
        <v>221.66666666666666</v>
      </c>
      <c r="P55" s="12">
        <f>ROUND(O55*설정!$B$5,0)</f>
        <v>266</v>
      </c>
      <c r="Q55" s="12">
        <f t="shared" si="11"/>
        <v>0</v>
      </c>
      <c r="R55" s="10" t="str">
        <f t="shared" si="12"/>
        <v>OK</v>
      </c>
      <c r="S55" s="12">
        <f t="shared" si="13"/>
        <v>101.36842105263159</v>
      </c>
      <c r="T55" s="12">
        <f>MAX(0,ROUND(N(P55)*설정!$B$4-N(K55),0))</f>
        <v>0</v>
      </c>
      <c r="U55" s="12"/>
      <c r="V55" s="34"/>
      <c r="W55" s="26"/>
    </row>
    <row r="56" spans="1:23" ht="20.100000000000001" customHeight="1" x14ac:dyDescent="0.4">
      <c r="A56" s="9" t="s">
        <v>39</v>
      </c>
      <c r="B56" s="25" t="s">
        <v>163</v>
      </c>
      <c r="C56" s="11" t="s">
        <v>76</v>
      </c>
      <c r="D56" s="12">
        <v>1347</v>
      </c>
      <c r="E56" s="12">
        <v>990</v>
      </c>
      <c r="F56" s="12">
        <f>N(E56)*(1+설정!$B$3)</f>
        <v>1118.6999999999998</v>
      </c>
      <c r="G56" s="12">
        <f t="shared" si="7"/>
        <v>228.30000000000018</v>
      </c>
      <c r="H56" s="13">
        <f t="shared" si="8"/>
        <v>0.16948775055679302</v>
      </c>
      <c r="I56" s="12">
        <v>652</v>
      </c>
      <c r="J56" s="12"/>
      <c r="K56" s="12">
        <f t="shared" si="9"/>
        <v>652</v>
      </c>
      <c r="L56" s="12">
        <v>184</v>
      </c>
      <c r="M56" s="12">
        <v>36</v>
      </c>
      <c r="N56" s="12"/>
      <c r="O56" s="12">
        <f t="shared" si="10"/>
        <v>110</v>
      </c>
      <c r="P56" s="12">
        <f>ROUND(O56*설정!$B$5,0)</f>
        <v>132</v>
      </c>
      <c r="Q56" s="12">
        <f t="shared" si="11"/>
        <v>0</v>
      </c>
      <c r="R56" s="10" t="str">
        <f t="shared" si="12"/>
        <v>OK</v>
      </c>
      <c r="S56" s="12">
        <f t="shared" si="13"/>
        <v>177.81818181818181</v>
      </c>
      <c r="T56" s="12">
        <f>MAX(0,ROUND(N(P56)*설정!$B$4-N(K56),0))</f>
        <v>0</v>
      </c>
      <c r="U56" s="12"/>
      <c r="V56" s="34"/>
      <c r="W56" s="26"/>
    </row>
    <row r="57" spans="1:23" ht="20.100000000000001" customHeight="1" x14ac:dyDescent="0.4">
      <c r="A57" s="9" t="s">
        <v>39</v>
      </c>
      <c r="B57" s="25" t="s">
        <v>163</v>
      </c>
      <c r="C57" s="11" t="s">
        <v>77</v>
      </c>
      <c r="D57" s="12">
        <v>991</v>
      </c>
      <c r="E57" s="12">
        <v>840</v>
      </c>
      <c r="F57" s="12">
        <f>N(E57)*(1+설정!$B$3)</f>
        <v>949.19999999999993</v>
      </c>
      <c r="G57" s="12">
        <f t="shared" si="7"/>
        <v>41.800000000000068</v>
      </c>
      <c r="H57" s="13">
        <f t="shared" si="8"/>
        <v>4.2179616548940535E-2</v>
      </c>
      <c r="I57" s="12">
        <v>2128</v>
      </c>
      <c r="J57" s="12"/>
      <c r="K57" s="12">
        <f t="shared" si="9"/>
        <v>2128</v>
      </c>
      <c r="L57" s="12">
        <v>120</v>
      </c>
      <c r="M57" s="12"/>
      <c r="N57" s="12">
        <v>132</v>
      </c>
      <c r="O57" s="12">
        <f t="shared" si="10"/>
        <v>126</v>
      </c>
      <c r="P57" s="12">
        <f>ROUND(O57*설정!$B$5,0)</f>
        <v>151</v>
      </c>
      <c r="Q57" s="12">
        <f t="shared" si="11"/>
        <v>0</v>
      </c>
      <c r="R57" s="10" t="str">
        <f t="shared" si="12"/>
        <v>OK</v>
      </c>
      <c r="S57" s="12">
        <f t="shared" si="13"/>
        <v>506.66666666666663</v>
      </c>
      <c r="T57" s="12">
        <f>MAX(0,ROUND(N(P57)*설정!$B$4-N(K57),0))</f>
        <v>0</v>
      </c>
      <c r="U57" s="12"/>
      <c r="V57" s="34"/>
      <c r="W57" s="26"/>
    </row>
    <row r="58" spans="1:23" ht="20.100000000000001" customHeight="1" x14ac:dyDescent="0.4">
      <c r="A58" s="9" t="s">
        <v>39</v>
      </c>
      <c r="B58" s="25" t="s">
        <v>163</v>
      </c>
      <c r="C58" s="11" t="s">
        <v>79</v>
      </c>
      <c r="D58" s="12">
        <v>1487</v>
      </c>
      <c r="E58" s="12">
        <v>900</v>
      </c>
      <c r="F58" s="12">
        <f>N(E58)*(1+설정!$B$3)</f>
        <v>1016.9999999999999</v>
      </c>
      <c r="G58" s="12">
        <f t="shared" si="7"/>
        <v>470.00000000000011</v>
      </c>
      <c r="H58" s="13">
        <f t="shared" si="8"/>
        <v>0.31607262945527914</v>
      </c>
      <c r="I58" s="12">
        <v>1243</v>
      </c>
      <c r="J58" s="12"/>
      <c r="K58" s="12">
        <f t="shared" si="9"/>
        <v>1243</v>
      </c>
      <c r="L58" s="12"/>
      <c r="M58" s="12"/>
      <c r="N58" s="12">
        <v>72</v>
      </c>
      <c r="O58" s="12">
        <f t="shared" si="10"/>
        <v>72</v>
      </c>
      <c r="P58" s="12">
        <f>ROUND(O58*설정!$B$5,0)</f>
        <v>86</v>
      </c>
      <c r="Q58" s="12">
        <f t="shared" si="11"/>
        <v>0</v>
      </c>
      <c r="R58" s="10" t="str">
        <f t="shared" si="12"/>
        <v>OK</v>
      </c>
      <c r="S58" s="12">
        <f t="shared" si="13"/>
        <v>517.91666666666674</v>
      </c>
      <c r="T58" s="12">
        <f>MAX(0,ROUND(N(P58)*설정!$B$4-N(K58),0))</f>
        <v>0</v>
      </c>
      <c r="U58" s="12"/>
      <c r="V58" s="34"/>
      <c r="W58" s="26"/>
    </row>
    <row r="59" spans="1:23" ht="20.100000000000001" customHeight="1" x14ac:dyDescent="0.4">
      <c r="A59" s="9" t="s">
        <v>39</v>
      </c>
      <c r="B59" s="25" t="s">
        <v>163</v>
      </c>
      <c r="C59" s="11" t="s">
        <v>80</v>
      </c>
      <c r="D59" s="12">
        <v>1343</v>
      </c>
      <c r="E59" s="12">
        <v>1070</v>
      </c>
      <c r="F59" s="12">
        <f>N(E59)*(1+설정!$B$3)</f>
        <v>1209.0999999999999</v>
      </c>
      <c r="G59" s="12">
        <f t="shared" si="7"/>
        <v>133.90000000000009</v>
      </c>
      <c r="H59" s="13">
        <f t="shared" si="8"/>
        <v>9.9702159344750629E-2</v>
      </c>
      <c r="I59" s="12">
        <v>0</v>
      </c>
      <c r="J59" s="12">
        <v>6000</v>
      </c>
      <c r="K59" s="12">
        <f t="shared" si="9"/>
        <v>6000</v>
      </c>
      <c r="L59" s="12"/>
      <c r="M59" s="12"/>
      <c r="N59" s="12">
        <v>486</v>
      </c>
      <c r="O59" s="12">
        <f t="shared" si="10"/>
        <v>486</v>
      </c>
      <c r="P59" s="12">
        <f>ROUND(O59*설정!$B$5,0)</f>
        <v>583</v>
      </c>
      <c r="Q59" s="12">
        <f t="shared" si="11"/>
        <v>0</v>
      </c>
      <c r="R59" s="10" t="str">
        <f t="shared" si="12"/>
        <v>OK</v>
      </c>
      <c r="S59" s="12">
        <f t="shared" si="13"/>
        <v>370.37037037037038</v>
      </c>
      <c r="T59" s="12">
        <f>MAX(0,ROUND(N(P59)*설정!$B$4-N(K59),0))</f>
        <v>0</v>
      </c>
      <c r="U59" s="12"/>
      <c r="V59" s="34"/>
      <c r="W59" s="26"/>
    </row>
    <row r="60" spans="1:23" ht="20.100000000000001" customHeight="1" x14ac:dyDescent="0.4">
      <c r="A60" s="9" t="s">
        <v>39</v>
      </c>
      <c r="B60" s="25" t="s">
        <v>163</v>
      </c>
      <c r="C60" s="11" t="s">
        <v>83</v>
      </c>
      <c r="D60" s="12">
        <v>319</v>
      </c>
      <c r="E60" s="12">
        <v>180</v>
      </c>
      <c r="F60" s="12">
        <f>N(E60)*(1+설정!$B$3)</f>
        <v>203.39999999999998</v>
      </c>
      <c r="G60" s="12">
        <f t="shared" si="7"/>
        <v>115.60000000000002</v>
      </c>
      <c r="H60" s="13">
        <f t="shared" si="8"/>
        <v>0.36238244514106588</v>
      </c>
      <c r="I60" s="12">
        <v>23</v>
      </c>
      <c r="J60" s="12"/>
      <c r="K60" s="12">
        <f t="shared" si="9"/>
        <v>23</v>
      </c>
      <c r="L60" s="12">
        <v>144</v>
      </c>
      <c r="M60" s="12"/>
      <c r="N60" s="12">
        <v>504</v>
      </c>
      <c r="O60" s="12">
        <f t="shared" si="10"/>
        <v>324</v>
      </c>
      <c r="P60" s="12">
        <f>ROUND(O60*설정!$B$5,0)</f>
        <v>389</v>
      </c>
      <c r="Q60" s="12">
        <f t="shared" si="11"/>
        <v>366</v>
      </c>
      <c r="R60" s="10" t="str">
        <f t="shared" si="12"/>
        <v>⚠ 부족</v>
      </c>
      <c r="S60" s="12">
        <f t="shared" si="13"/>
        <v>2.1296296296296293</v>
      </c>
      <c r="T60" s="12">
        <f>MAX(0,ROUND(N(P60)*설정!$B$4-N(K60),0))</f>
        <v>755</v>
      </c>
      <c r="U60" s="12"/>
      <c r="V60" s="34"/>
      <c r="W60" s="26"/>
    </row>
    <row r="61" spans="1:23" ht="20.100000000000001" customHeight="1" x14ac:dyDescent="0.4">
      <c r="A61" s="9" t="s">
        <v>39</v>
      </c>
      <c r="B61" s="25" t="s">
        <v>163</v>
      </c>
      <c r="C61" s="11" t="s">
        <v>186</v>
      </c>
      <c r="D61" s="12">
        <v>245</v>
      </c>
      <c r="E61" s="12">
        <v>170</v>
      </c>
      <c r="F61" s="12">
        <f>N(E61)*(1+설정!$B$3)</f>
        <v>192.1</v>
      </c>
      <c r="G61" s="12">
        <f t="shared" si="7"/>
        <v>52.900000000000006</v>
      </c>
      <c r="H61" s="13">
        <f t="shared" si="8"/>
        <v>0.21591836734693881</v>
      </c>
      <c r="I61" s="12">
        <v>2034</v>
      </c>
      <c r="J61" s="12"/>
      <c r="K61" s="12">
        <f t="shared" si="9"/>
        <v>2034</v>
      </c>
      <c r="L61" s="12">
        <v>3276</v>
      </c>
      <c r="M61" s="12">
        <v>5616</v>
      </c>
      <c r="N61" s="12">
        <v>4356</v>
      </c>
      <c r="O61" s="12">
        <f t="shared" si="10"/>
        <v>4416</v>
      </c>
      <c r="P61" s="12">
        <f>ROUND(O61*설정!$B$5,0)</f>
        <v>5299</v>
      </c>
      <c r="Q61" s="12">
        <f t="shared" si="11"/>
        <v>3265</v>
      </c>
      <c r="R61" s="10" t="str">
        <f t="shared" si="12"/>
        <v>⚠ 부족</v>
      </c>
      <c r="S61" s="12">
        <f t="shared" si="13"/>
        <v>13.817934782608697</v>
      </c>
      <c r="T61" s="12">
        <f>MAX(0,ROUND(N(P61)*설정!$B$4-N(K61),0))</f>
        <v>8564</v>
      </c>
      <c r="U61" s="12"/>
      <c r="V61" s="34"/>
      <c r="W61" s="26"/>
    </row>
    <row r="62" spans="1:23" ht="20.100000000000001" customHeight="1" x14ac:dyDescent="0.4">
      <c r="A62" s="9" t="s">
        <v>39</v>
      </c>
      <c r="B62" s="25" t="s">
        <v>163</v>
      </c>
      <c r="C62" s="11" t="s">
        <v>165</v>
      </c>
      <c r="D62" s="12">
        <v>370</v>
      </c>
      <c r="E62" s="12">
        <v>270</v>
      </c>
      <c r="F62" s="12">
        <f>N(E62)*(1+설정!$B$3)</f>
        <v>305.09999999999997</v>
      </c>
      <c r="G62" s="12">
        <f t="shared" si="7"/>
        <v>64.900000000000034</v>
      </c>
      <c r="H62" s="13">
        <f t="shared" si="8"/>
        <v>0.1754054054054055</v>
      </c>
      <c r="I62" s="12">
        <v>807</v>
      </c>
      <c r="J62" s="12"/>
      <c r="K62" s="12">
        <f t="shared" si="9"/>
        <v>807</v>
      </c>
      <c r="L62" s="12">
        <v>360</v>
      </c>
      <c r="M62" s="12"/>
      <c r="N62" s="12">
        <v>120</v>
      </c>
      <c r="O62" s="12">
        <f t="shared" si="10"/>
        <v>240</v>
      </c>
      <c r="P62" s="12">
        <f>ROUND(O62*설정!$B$5,0)</f>
        <v>288</v>
      </c>
      <c r="Q62" s="12">
        <f t="shared" si="11"/>
        <v>0</v>
      </c>
      <c r="R62" s="10" t="str">
        <f t="shared" si="12"/>
        <v>OK</v>
      </c>
      <c r="S62" s="12">
        <f t="shared" si="13"/>
        <v>100.875</v>
      </c>
      <c r="T62" s="12">
        <f>MAX(0,ROUND(N(P62)*설정!$B$4-N(K62),0))</f>
        <v>0</v>
      </c>
      <c r="U62" s="12">
        <v>125</v>
      </c>
      <c r="V62" s="34"/>
      <c r="W62" s="26"/>
    </row>
    <row r="63" spans="1:23" ht="20.100000000000001" customHeight="1" x14ac:dyDescent="0.4">
      <c r="A63" s="9" t="s">
        <v>39</v>
      </c>
      <c r="B63" s="25" t="s">
        <v>163</v>
      </c>
      <c r="C63" s="11" t="s">
        <v>88</v>
      </c>
      <c r="D63" s="12">
        <v>616</v>
      </c>
      <c r="E63" s="12">
        <v>480</v>
      </c>
      <c r="F63" s="12">
        <f>N(E63)*(1+설정!$B$3)</f>
        <v>542.4</v>
      </c>
      <c r="G63" s="12">
        <f t="shared" si="7"/>
        <v>73.600000000000023</v>
      </c>
      <c r="H63" s="13">
        <f t="shared" si="8"/>
        <v>0.11948051948051952</v>
      </c>
      <c r="I63" s="12">
        <v>917</v>
      </c>
      <c r="J63" s="12"/>
      <c r="K63" s="12">
        <f t="shared" si="9"/>
        <v>917</v>
      </c>
      <c r="L63" s="12">
        <v>810</v>
      </c>
      <c r="M63" s="12"/>
      <c r="N63" s="12">
        <v>252</v>
      </c>
      <c r="O63" s="12">
        <f t="shared" si="10"/>
        <v>531</v>
      </c>
      <c r="P63" s="12">
        <f>ROUND(O63*설정!$B$5,0)</f>
        <v>637</v>
      </c>
      <c r="Q63" s="12">
        <f t="shared" si="11"/>
        <v>0</v>
      </c>
      <c r="R63" s="10" t="str">
        <f t="shared" si="12"/>
        <v>OK</v>
      </c>
      <c r="S63" s="12">
        <f t="shared" si="13"/>
        <v>51.807909604519779</v>
      </c>
      <c r="T63" s="12">
        <f>MAX(0,ROUND(N(P63)*설정!$B$4-N(K63),0))</f>
        <v>357</v>
      </c>
      <c r="U63" s="12">
        <v>273</v>
      </c>
      <c r="V63" s="34"/>
      <c r="W63" s="26"/>
    </row>
    <row r="64" spans="1:23" ht="20.100000000000001" customHeight="1" x14ac:dyDescent="0.4">
      <c r="A64" s="9" t="s">
        <v>39</v>
      </c>
      <c r="B64" s="25" t="s">
        <v>163</v>
      </c>
      <c r="C64" s="11" t="s">
        <v>92</v>
      </c>
      <c r="D64" s="12">
        <v>2364</v>
      </c>
      <c r="E64" s="12">
        <v>1300</v>
      </c>
      <c r="F64" s="12">
        <f>N(E64)*(1+설정!$B$3)</f>
        <v>1468.9999999999998</v>
      </c>
      <c r="G64" s="12">
        <f t="shared" si="7"/>
        <v>895.00000000000023</v>
      </c>
      <c r="H64" s="13">
        <f t="shared" si="8"/>
        <v>0.37859560067681902</v>
      </c>
      <c r="I64" s="12">
        <v>446</v>
      </c>
      <c r="J64" s="12"/>
      <c r="K64" s="12">
        <f t="shared" si="9"/>
        <v>446</v>
      </c>
      <c r="L64" s="12">
        <v>558</v>
      </c>
      <c r="M64" s="12">
        <v>638</v>
      </c>
      <c r="N64" s="12">
        <v>246</v>
      </c>
      <c r="O64" s="12">
        <f t="shared" si="10"/>
        <v>480.66666666666669</v>
      </c>
      <c r="P64" s="12">
        <f>ROUND(O64*설정!$B$5,0)</f>
        <v>577</v>
      </c>
      <c r="Q64" s="12">
        <f t="shared" si="11"/>
        <v>131</v>
      </c>
      <c r="R64" s="10" t="str">
        <f t="shared" si="12"/>
        <v>⚠ 부족</v>
      </c>
      <c r="S64" s="12">
        <f t="shared" si="13"/>
        <v>27.836338418862692</v>
      </c>
      <c r="T64" s="12">
        <f>MAX(0,ROUND(N(P64)*설정!$B$4-N(K64),0))</f>
        <v>708</v>
      </c>
      <c r="U64" s="12">
        <v>36</v>
      </c>
      <c r="V64" s="34"/>
      <c r="W64" s="26"/>
    </row>
    <row r="65" spans="1:23" ht="20.100000000000001" customHeight="1" x14ac:dyDescent="0.4">
      <c r="A65" s="9" t="s">
        <v>39</v>
      </c>
      <c r="B65" s="25" t="s">
        <v>163</v>
      </c>
      <c r="C65" s="11" t="s">
        <v>93</v>
      </c>
      <c r="D65" s="12">
        <v>3575</v>
      </c>
      <c r="E65" s="12">
        <v>1330</v>
      </c>
      <c r="F65" s="12">
        <f>N(E65)*(1+설정!$B$3)</f>
        <v>1502.8999999999999</v>
      </c>
      <c r="G65" s="12">
        <f t="shared" si="7"/>
        <v>2072.1000000000004</v>
      </c>
      <c r="H65" s="13">
        <f t="shared" si="8"/>
        <v>0.57960839160839173</v>
      </c>
      <c r="I65" s="12">
        <v>367</v>
      </c>
      <c r="J65" s="12"/>
      <c r="K65" s="12">
        <f t="shared" si="9"/>
        <v>367</v>
      </c>
      <c r="L65" s="12">
        <v>28</v>
      </c>
      <c r="M65" s="12">
        <v>86</v>
      </c>
      <c r="N65" s="12">
        <v>64</v>
      </c>
      <c r="O65" s="12">
        <f t="shared" si="10"/>
        <v>59.333333333333336</v>
      </c>
      <c r="P65" s="12">
        <f>ROUND(O65*설정!$B$5,0)</f>
        <v>71</v>
      </c>
      <c r="Q65" s="12">
        <f t="shared" si="11"/>
        <v>0</v>
      </c>
      <c r="R65" s="10" t="str">
        <f t="shared" si="12"/>
        <v>OK</v>
      </c>
      <c r="S65" s="12">
        <f t="shared" si="13"/>
        <v>185.56179775280899</v>
      </c>
      <c r="T65" s="12">
        <f>MAX(0,ROUND(N(P65)*설정!$B$4-N(K65),0))</f>
        <v>0</v>
      </c>
      <c r="U65" s="12"/>
      <c r="V65" s="34"/>
      <c r="W65" s="26"/>
    </row>
    <row r="66" spans="1:23" ht="20.100000000000001" customHeight="1" x14ac:dyDescent="0.4">
      <c r="A66" s="9" t="s">
        <v>39</v>
      </c>
      <c r="B66" s="25" t="s">
        <v>163</v>
      </c>
      <c r="C66" s="11" t="s">
        <v>94</v>
      </c>
      <c r="D66" s="12">
        <v>762</v>
      </c>
      <c r="E66" s="12">
        <v>564</v>
      </c>
      <c r="F66" s="12">
        <f>N(E66)*(1+설정!$B$3)</f>
        <v>637.31999999999994</v>
      </c>
      <c r="G66" s="12">
        <f t="shared" ref="G66:G97" si="14">N(D66)-F66</f>
        <v>124.68000000000006</v>
      </c>
      <c r="H66" s="13">
        <f t="shared" ref="H66:H97" si="15">IF(N(D66)=0,"-",G66/N(D66))</f>
        <v>0.16362204724409457</v>
      </c>
      <c r="I66" s="12">
        <v>13100</v>
      </c>
      <c r="J66" s="12"/>
      <c r="K66" s="12">
        <f t="shared" ref="K66:K97" si="16">N(I66)+N(J66)</f>
        <v>13100</v>
      </c>
      <c r="L66" s="12">
        <v>60</v>
      </c>
      <c r="M66" s="12">
        <v>12</v>
      </c>
      <c r="N66" s="12">
        <v>168</v>
      </c>
      <c r="O66" s="12">
        <f t="shared" ref="O66:O97" si="17">IF(COUNT(L66,M66,N66)=0,0,AVERAGE(L66,M66,N66))</f>
        <v>80</v>
      </c>
      <c r="P66" s="12">
        <f>ROUND(O66*설정!$B$5,0)</f>
        <v>96</v>
      </c>
      <c r="Q66" s="12">
        <f t="shared" ref="Q66:Q97" si="18">MAX(0,N(P66)-N(K66))</f>
        <v>0</v>
      </c>
      <c r="R66" s="10" t="str">
        <f t="shared" ref="R66:R97" si="19">IF(N(K66)&lt;N(P66),"⚠ 부족","OK")</f>
        <v>OK</v>
      </c>
      <c r="S66" s="12">
        <f t="shared" ref="S66:S97" si="20">IF(O66=0,"-",K66/(O66/30))</f>
        <v>4912.5</v>
      </c>
      <c r="T66" s="12">
        <f>MAX(0,ROUND(N(P66)*설정!$B$4-N(K66),0))</f>
        <v>0</v>
      </c>
      <c r="U66" s="12"/>
      <c r="V66" s="34"/>
      <c r="W66" s="26"/>
    </row>
    <row r="67" spans="1:23" ht="20.100000000000001" customHeight="1" x14ac:dyDescent="0.4">
      <c r="A67" s="9" t="s">
        <v>39</v>
      </c>
      <c r="B67" s="25" t="s">
        <v>163</v>
      </c>
      <c r="C67" s="11" t="s">
        <v>96</v>
      </c>
      <c r="D67" s="12">
        <v>4192</v>
      </c>
      <c r="E67" s="12">
        <v>3100</v>
      </c>
      <c r="F67" s="12">
        <f>N(E67)*(1+설정!$B$3)</f>
        <v>3502.9999999999995</v>
      </c>
      <c r="G67" s="12">
        <f t="shared" si="14"/>
        <v>689.00000000000045</v>
      </c>
      <c r="H67" s="13">
        <f t="shared" si="15"/>
        <v>0.16436068702290088</v>
      </c>
      <c r="I67" s="12">
        <v>119</v>
      </c>
      <c r="J67" s="12"/>
      <c r="K67" s="12">
        <f t="shared" si="16"/>
        <v>119</v>
      </c>
      <c r="L67" s="12">
        <v>54</v>
      </c>
      <c r="M67" s="12">
        <v>42</v>
      </c>
      <c r="N67" s="12"/>
      <c r="O67" s="12">
        <f t="shared" si="17"/>
        <v>48</v>
      </c>
      <c r="P67" s="12">
        <f>ROUND(O67*설정!$B$5,0)</f>
        <v>58</v>
      </c>
      <c r="Q67" s="12">
        <f t="shared" si="18"/>
        <v>0</v>
      </c>
      <c r="R67" s="10" t="str">
        <f t="shared" si="19"/>
        <v>OK</v>
      </c>
      <c r="S67" s="12">
        <f t="shared" si="20"/>
        <v>74.375</v>
      </c>
      <c r="T67" s="12">
        <f>MAX(0,ROUND(N(P67)*설정!$B$4-N(K67),0))</f>
        <v>0</v>
      </c>
      <c r="U67" s="12"/>
      <c r="V67" s="34"/>
      <c r="W67" s="26"/>
    </row>
    <row r="68" spans="1:23" ht="20.100000000000001" customHeight="1" x14ac:dyDescent="0.4">
      <c r="A68" s="9" t="s">
        <v>39</v>
      </c>
      <c r="B68" s="25" t="s">
        <v>163</v>
      </c>
      <c r="C68" s="11" t="s">
        <v>97</v>
      </c>
      <c r="D68" s="12">
        <v>1354</v>
      </c>
      <c r="E68" s="12">
        <v>1190</v>
      </c>
      <c r="F68" s="12">
        <f>N(E68)*(1+설정!$B$3)</f>
        <v>1344.6999999999998</v>
      </c>
      <c r="G68" s="12">
        <f t="shared" si="14"/>
        <v>9.3000000000001819</v>
      </c>
      <c r="H68" s="13">
        <f t="shared" si="15"/>
        <v>6.8685376661744325E-3</v>
      </c>
      <c r="I68" s="12">
        <v>2597</v>
      </c>
      <c r="J68" s="12"/>
      <c r="K68" s="12">
        <f t="shared" si="16"/>
        <v>2597</v>
      </c>
      <c r="L68" s="12"/>
      <c r="M68" s="12"/>
      <c r="N68" s="12"/>
      <c r="O68" s="12">
        <f t="shared" si="17"/>
        <v>0</v>
      </c>
      <c r="P68" s="12">
        <f>ROUND(O68*설정!$B$5,0)</f>
        <v>0</v>
      </c>
      <c r="Q68" s="12">
        <f t="shared" si="18"/>
        <v>0</v>
      </c>
      <c r="R68" s="10" t="str">
        <f t="shared" si="19"/>
        <v>OK</v>
      </c>
      <c r="S68" s="12" t="str">
        <f t="shared" si="20"/>
        <v>-</v>
      </c>
      <c r="T68" s="12">
        <f>MAX(0,ROUND(N(P68)*설정!$B$4-N(K68),0))</f>
        <v>0</v>
      </c>
      <c r="U68" s="12"/>
      <c r="V68" s="34"/>
      <c r="W68" s="26"/>
    </row>
    <row r="69" spans="1:23" ht="20.100000000000001" customHeight="1" x14ac:dyDescent="0.4">
      <c r="A69" s="9" t="s">
        <v>39</v>
      </c>
      <c r="B69" s="25" t="s">
        <v>163</v>
      </c>
      <c r="C69" s="11" t="s">
        <v>99</v>
      </c>
      <c r="D69" s="12">
        <v>5135</v>
      </c>
      <c r="E69" s="12">
        <v>2850</v>
      </c>
      <c r="F69" s="12">
        <f>N(E69)*(1+설정!$B$3)</f>
        <v>3220.4999999999995</v>
      </c>
      <c r="G69" s="12">
        <f t="shared" si="14"/>
        <v>1914.5000000000005</v>
      </c>
      <c r="H69" s="13">
        <f t="shared" si="15"/>
        <v>0.37283349561830581</v>
      </c>
      <c r="I69" s="12">
        <v>16</v>
      </c>
      <c r="J69" s="12"/>
      <c r="K69" s="12">
        <f t="shared" si="16"/>
        <v>16</v>
      </c>
      <c r="L69" s="12">
        <v>60</v>
      </c>
      <c r="M69" s="12"/>
      <c r="N69" s="12">
        <v>117</v>
      </c>
      <c r="O69" s="12">
        <f t="shared" si="17"/>
        <v>88.5</v>
      </c>
      <c r="P69" s="12">
        <f>ROUND(O69*설정!$B$5,0)</f>
        <v>106</v>
      </c>
      <c r="Q69" s="12">
        <f t="shared" si="18"/>
        <v>90</v>
      </c>
      <c r="R69" s="10" t="str">
        <f t="shared" si="19"/>
        <v>⚠ 부족</v>
      </c>
      <c r="S69" s="12">
        <f t="shared" si="20"/>
        <v>5.4237288135593218</v>
      </c>
      <c r="T69" s="12">
        <f>MAX(0,ROUND(N(P69)*설정!$B$4-N(K69),0))</f>
        <v>196</v>
      </c>
      <c r="U69" s="12"/>
      <c r="V69" s="34"/>
      <c r="W69" s="26"/>
    </row>
    <row r="70" spans="1:23" ht="20.100000000000001" customHeight="1" x14ac:dyDescent="0.4">
      <c r="A70" s="9" t="s">
        <v>39</v>
      </c>
      <c r="B70" s="25" t="s">
        <v>163</v>
      </c>
      <c r="C70" s="11" t="s">
        <v>166</v>
      </c>
      <c r="D70" s="12">
        <v>5135</v>
      </c>
      <c r="E70" s="12">
        <v>3120</v>
      </c>
      <c r="F70" s="12">
        <f>N(E70)*(1+설정!$B$3)</f>
        <v>3525.5999999999995</v>
      </c>
      <c r="G70" s="12">
        <f t="shared" si="14"/>
        <v>1609.4000000000005</v>
      </c>
      <c r="H70" s="13">
        <f t="shared" si="15"/>
        <v>0.31341772151898745</v>
      </c>
      <c r="I70" s="12">
        <v>502</v>
      </c>
      <c r="J70" s="12"/>
      <c r="K70" s="12">
        <f t="shared" si="16"/>
        <v>502</v>
      </c>
      <c r="L70" s="12">
        <v>1</v>
      </c>
      <c r="M70" s="12">
        <v>3</v>
      </c>
      <c r="N70" s="12">
        <v>10</v>
      </c>
      <c r="O70" s="12">
        <f t="shared" si="17"/>
        <v>4.666666666666667</v>
      </c>
      <c r="P70" s="12">
        <f>ROUND(O70*설정!$B$5,0)</f>
        <v>6</v>
      </c>
      <c r="Q70" s="12">
        <f t="shared" si="18"/>
        <v>0</v>
      </c>
      <c r="R70" s="10" t="str">
        <f t="shared" si="19"/>
        <v>OK</v>
      </c>
      <c r="S70" s="12">
        <f t="shared" si="20"/>
        <v>3227.1428571428569</v>
      </c>
      <c r="T70" s="12">
        <f>MAX(0,ROUND(N(P70)*설정!$B$4-N(K70),0))</f>
        <v>0</v>
      </c>
      <c r="U70" s="12"/>
      <c r="V70" s="34"/>
      <c r="W70" s="26"/>
    </row>
    <row r="71" spans="1:23" ht="20.100000000000001" customHeight="1" x14ac:dyDescent="0.4">
      <c r="A71" s="9" t="s">
        <v>39</v>
      </c>
      <c r="B71" s="25" t="s">
        <v>163</v>
      </c>
      <c r="C71" s="11" t="s">
        <v>100</v>
      </c>
      <c r="D71" s="12">
        <v>536</v>
      </c>
      <c r="E71" s="12">
        <v>460</v>
      </c>
      <c r="F71" s="12">
        <f>N(E71)*(1+설정!$B$3)</f>
        <v>519.79999999999995</v>
      </c>
      <c r="G71" s="12">
        <f t="shared" si="14"/>
        <v>16.200000000000045</v>
      </c>
      <c r="H71" s="13">
        <f t="shared" si="15"/>
        <v>3.0223880597015012E-2</v>
      </c>
      <c r="I71" s="12">
        <v>3936</v>
      </c>
      <c r="J71" s="12"/>
      <c r="K71" s="12">
        <f t="shared" si="16"/>
        <v>3936</v>
      </c>
      <c r="L71" s="12">
        <v>456</v>
      </c>
      <c r="M71" s="12"/>
      <c r="N71" s="12">
        <v>240</v>
      </c>
      <c r="O71" s="12">
        <f t="shared" si="17"/>
        <v>348</v>
      </c>
      <c r="P71" s="12">
        <f>ROUND(O71*설정!$B$5,0)</f>
        <v>418</v>
      </c>
      <c r="Q71" s="12">
        <f t="shared" si="18"/>
        <v>0</v>
      </c>
      <c r="R71" s="10" t="str">
        <f t="shared" si="19"/>
        <v>OK</v>
      </c>
      <c r="S71" s="12">
        <f t="shared" si="20"/>
        <v>339.31034482758622</v>
      </c>
      <c r="T71" s="12">
        <f>MAX(0,ROUND(N(P71)*설정!$B$4-N(K71),0))</f>
        <v>0</v>
      </c>
      <c r="U71" s="12"/>
      <c r="V71" s="34"/>
      <c r="W71" s="26"/>
    </row>
    <row r="72" spans="1:23" ht="20.100000000000001" customHeight="1" x14ac:dyDescent="0.4">
      <c r="A72" s="9" t="s">
        <v>39</v>
      </c>
      <c r="B72" s="25" t="s">
        <v>163</v>
      </c>
      <c r="C72" s="11" t="s">
        <v>101</v>
      </c>
      <c r="D72" s="12">
        <v>1495</v>
      </c>
      <c r="E72" s="12">
        <v>830</v>
      </c>
      <c r="F72" s="12">
        <f>N(E72)*(1+설정!$B$3)</f>
        <v>937.89999999999986</v>
      </c>
      <c r="G72" s="12">
        <f t="shared" si="14"/>
        <v>557.10000000000014</v>
      </c>
      <c r="H72" s="13">
        <f t="shared" si="15"/>
        <v>0.37264214046822752</v>
      </c>
      <c r="I72" s="12">
        <v>814</v>
      </c>
      <c r="J72" s="12"/>
      <c r="K72" s="12">
        <f t="shared" si="16"/>
        <v>814</v>
      </c>
      <c r="L72" s="12"/>
      <c r="M72" s="12"/>
      <c r="N72" s="12">
        <v>183</v>
      </c>
      <c r="O72" s="12">
        <f t="shared" si="17"/>
        <v>183</v>
      </c>
      <c r="P72" s="12">
        <f>ROUND(O72*설정!$B$5,0)</f>
        <v>220</v>
      </c>
      <c r="Q72" s="12">
        <f t="shared" si="18"/>
        <v>0</v>
      </c>
      <c r="R72" s="10" t="str">
        <f t="shared" si="19"/>
        <v>OK</v>
      </c>
      <c r="S72" s="12">
        <f t="shared" si="20"/>
        <v>133.44262295081967</v>
      </c>
      <c r="T72" s="12">
        <f>MAX(0,ROUND(N(P72)*설정!$B$4-N(K72),0))</f>
        <v>0</v>
      </c>
      <c r="U72" s="12"/>
      <c r="V72" s="34"/>
      <c r="W72" s="26"/>
    </row>
    <row r="73" spans="1:23" ht="20.100000000000001" customHeight="1" x14ac:dyDescent="0.4">
      <c r="A73" s="9" t="s">
        <v>39</v>
      </c>
      <c r="B73" s="25" t="s">
        <v>163</v>
      </c>
      <c r="C73" s="11" t="s">
        <v>102</v>
      </c>
      <c r="D73" s="12">
        <v>1300</v>
      </c>
      <c r="E73" s="12">
        <v>830</v>
      </c>
      <c r="F73" s="12">
        <f>N(E73)*(1+설정!$B$3)</f>
        <v>937.89999999999986</v>
      </c>
      <c r="G73" s="12">
        <f t="shared" si="14"/>
        <v>362.10000000000014</v>
      </c>
      <c r="H73" s="13">
        <f t="shared" si="15"/>
        <v>0.27853846153846162</v>
      </c>
      <c r="I73" s="12">
        <v>119</v>
      </c>
      <c r="J73" s="12"/>
      <c r="K73" s="12">
        <f t="shared" si="16"/>
        <v>119</v>
      </c>
      <c r="L73" s="12"/>
      <c r="M73" s="12">
        <v>36</v>
      </c>
      <c r="N73" s="12">
        <v>72</v>
      </c>
      <c r="O73" s="12">
        <f t="shared" si="17"/>
        <v>54</v>
      </c>
      <c r="P73" s="12">
        <f>ROUND(O73*설정!$B$5,0)</f>
        <v>65</v>
      </c>
      <c r="Q73" s="12">
        <f t="shared" si="18"/>
        <v>0</v>
      </c>
      <c r="R73" s="10" t="str">
        <f t="shared" si="19"/>
        <v>OK</v>
      </c>
      <c r="S73" s="12">
        <f t="shared" si="20"/>
        <v>66.111111111111114</v>
      </c>
      <c r="T73" s="12">
        <f>MAX(0,ROUND(N(P73)*설정!$B$4-N(K73),0))</f>
        <v>11</v>
      </c>
      <c r="U73" s="12"/>
      <c r="V73" s="34"/>
      <c r="W73" s="26"/>
    </row>
    <row r="74" spans="1:23" ht="20.100000000000001" customHeight="1" x14ac:dyDescent="0.4">
      <c r="A74" s="9" t="s">
        <v>39</v>
      </c>
      <c r="B74" s="25" t="s">
        <v>163</v>
      </c>
      <c r="C74" s="11" t="s">
        <v>103</v>
      </c>
      <c r="D74" s="12">
        <v>954</v>
      </c>
      <c r="E74" s="12">
        <v>850</v>
      </c>
      <c r="F74" s="12">
        <f>N(E74)*(1+설정!$B$3)</f>
        <v>960.49999999999989</v>
      </c>
      <c r="G74" s="12">
        <f t="shared" si="14"/>
        <v>-6.4999999999998863</v>
      </c>
      <c r="H74" s="13">
        <f t="shared" si="15"/>
        <v>-6.8134171907755624E-3</v>
      </c>
      <c r="I74" s="12">
        <v>1</v>
      </c>
      <c r="J74" s="12"/>
      <c r="K74" s="12">
        <f t="shared" si="16"/>
        <v>1</v>
      </c>
      <c r="L74" s="12"/>
      <c r="M74" s="12"/>
      <c r="N74" s="12"/>
      <c r="O74" s="12">
        <f t="shared" si="17"/>
        <v>0</v>
      </c>
      <c r="P74" s="12">
        <f>ROUND(O74*설정!$B$5,0)</f>
        <v>0</v>
      </c>
      <c r="Q74" s="12">
        <f t="shared" si="18"/>
        <v>0</v>
      </c>
      <c r="R74" s="10" t="str">
        <f t="shared" si="19"/>
        <v>OK</v>
      </c>
      <c r="S74" s="12" t="str">
        <f t="shared" si="20"/>
        <v>-</v>
      </c>
      <c r="T74" s="12">
        <f>MAX(0,ROUND(N(P74)*설정!$B$4-N(K74),0))</f>
        <v>0</v>
      </c>
      <c r="U74" s="12"/>
      <c r="V74" s="34"/>
      <c r="W74" s="26"/>
    </row>
    <row r="75" spans="1:23" ht="20.100000000000001" customHeight="1" x14ac:dyDescent="0.4">
      <c r="A75" s="9" t="s">
        <v>39</v>
      </c>
      <c r="B75" s="25" t="s">
        <v>163</v>
      </c>
      <c r="C75" s="11" t="s">
        <v>167</v>
      </c>
      <c r="D75" s="12">
        <v>552</v>
      </c>
      <c r="E75" s="12">
        <v>400</v>
      </c>
      <c r="F75" s="12">
        <f>N(E75)*(1+설정!$B$3)</f>
        <v>451.99999999999994</v>
      </c>
      <c r="G75" s="12">
        <f t="shared" si="14"/>
        <v>100.00000000000006</v>
      </c>
      <c r="H75" s="13">
        <f t="shared" si="15"/>
        <v>0.18115942028985518</v>
      </c>
      <c r="I75" s="12">
        <v>3705</v>
      </c>
      <c r="J75" s="12"/>
      <c r="K75" s="12">
        <f t="shared" si="16"/>
        <v>3705</v>
      </c>
      <c r="L75" s="12"/>
      <c r="M75" s="12"/>
      <c r="N75" s="12"/>
      <c r="O75" s="12">
        <f t="shared" si="17"/>
        <v>0</v>
      </c>
      <c r="P75" s="12">
        <f>ROUND(O75*설정!$B$5,0)</f>
        <v>0</v>
      </c>
      <c r="Q75" s="12">
        <f t="shared" si="18"/>
        <v>0</v>
      </c>
      <c r="R75" s="10" t="str">
        <f t="shared" si="19"/>
        <v>OK</v>
      </c>
      <c r="S75" s="12" t="str">
        <f t="shared" si="20"/>
        <v>-</v>
      </c>
      <c r="T75" s="12">
        <f>MAX(0,ROUND(N(P75)*설정!$B$4-N(K75),0))</f>
        <v>0</v>
      </c>
      <c r="U75" s="12">
        <v>1</v>
      </c>
      <c r="V75" s="34"/>
      <c r="W75" s="26"/>
    </row>
    <row r="76" spans="1:23" ht="20.100000000000001" customHeight="1" x14ac:dyDescent="0.4">
      <c r="A76" s="9" t="s">
        <v>39</v>
      </c>
      <c r="B76" s="25" t="s">
        <v>163</v>
      </c>
      <c r="C76" s="11" t="s">
        <v>104</v>
      </c>
      <c r="D76" s="12">
        <v>2015</v>
      </c>
      <c r="E76" s="12">
        <v>1150</v>
      </c>
      <c r="F76" s="12">
        <f>N(E76)*(1+설정!$B$3)</f>
        <v>1299.4999999999998</v>
      </c>
      <c r="G76" s="12">
        <f t="shared" si="14"/>
        <v>715.50000000000023</v>
      </c>
      <c r="H76" s="13">
        <f t="shared" si="15"/>
        <v>0.35508684863523582</v>
      </c>
      <c r="I76" s="12">
        <v>372</v>
      </c>
      <c r="J76" s="12"/>
      <c r="K76" s="12">
        <f t="shared" si="16"/>
        <v>372</v>
      </c>
      <c r="L76" s="12"/>
      <c r="M76" s="12"/>
      <c r="N76" s="12">
        <v>177</v>
      </c>
      <c r="O76" s="12">
        <f t="shared" si="17"/>
        <v>177</v>
      </c>
      <c r="P76" s="12">
        <f>ROUND(O76*설정!$B$5,0)</f>
        <v>212</v>
      </c>
      <c r="Q76" s="12">
        <f t="shared" si="18"/>
        <v>0</v>
      </c>
      <c r="R76" s="10" t="str">
        <f t="shared" si="19"/>
        <v>OK</v>
      </c>
      <c r="S76" s="12">
        <f t="shared" si="20"/>
        <v>63.050847457627114</v>
      </c>
      <c r="T76" s="12">
        <f>MAX(0,ROUND(N(P76)*설정!$B$4-N(K76),0))</f>
        <v>52</v>
      </c>
      <c r="U76" s="12"/>
      <c r="V76" s="34"/>
      <c r="W76" s="26"/>
    </row>
    <row r="77" spans="1:23" ht="20.100000000000001" customHeight="1" x14ac:dyDescent="0.4">
      <c r="A77" s="9" t="s">
        <v>39</v>
      </c>
      <c r="B77" s="25" t="s">
        <v>163</v>
      </c>
      <c r="C77" s="11" t="s">
        <v>169</v>
      </c>
      <c r="D77" s="12">
        <v>434</v>
      </c>
      <c r="E77" s="12">
        <v>310</v>
      </c>
      <c r="F77" s="12">
        <f>N(E77)*(1+설정!$B$3)</f>
        <v>350.29999999999995</v>
      </c>
      <c r="G77" s="12">
        <f t="shared" si="14"/>
        <v>83.700000000000045</v>
      </c>
      <c r="H77" s="13">
        <f t="shared" si="15"/>
        <v>0.19285714285714295</v>
      </c>
      <c r="I77" s="12">
        <v>12133</v>
      </c>
      <c r="J77" s="12"/>
      <c r="K77" s="12">
        <f t="shared" si="16"/>
        <v>12133</v>
      </c>
      <c r="L77" s="12"/>
      <c r="M77" s="12">
        <v>144</v>
      </c>
      <c r="N77" s="12">
        <v>432</v>
      </c>
      <c r="O77" s="12">
        <f t="shared" si="17"/>
        <v>288</v>
      </c>
      <c r="P77" s="12">
        <f>ROUND(O77*설정!$B$5,0)</f>
        <v>346</v>
      </c>
      <c r="Q77" s="12">
        <f t="shared" si="18"/>
        <v>0</v>
      </c>
      <c r="R77" s="10" t="str">
        <f t="shared" si="19"/>
        <v>OK</v>
      </c>
      <c r="S77" s="12">
        <f t="shared" si="20"/>
        <v>1263.8541666666667</v>
      </c>
      <c r="T77" s="12">
        <f>MAX(0,ROUND(N(P77)*설정!$B$4-N(K77),0))</f>
        <v>0</v>
      </c>
      <c r="U77" s="12"/>
      <c r="V77" s="34"/>
      <c r="W77" s="26"/>
    </row>
    <row r="78" spans="1:23" ht="20.100000000000001" customHeight="1" x14ac:dyDescent="0.4">
      <c r="A78" s="9" t="s">
        <v>39</v>
      </c>
      <c r="B78" s="25" t="s">
        <v>163</v>
      </c>
      <c r="C78" s="11" t="s">
        <v>107</v>
      </c>
      <c r="D78" s="12">
        <v>964</v>
      </c>
      <c r="E78" s="12">
        <v>580</v>
      </c>
      <c r="F78" s="12">
        <f>N(E78)*(1+설정!$B$3)</f>
        <v>655.4</v>
      </c>
      <c r="G78" s="12">
        <f t="shared" si="14"/>
        <v>308.60000000000002</v>
      </c>
      <c r="H78" s="13">
        <f t="shared" si="15"/>
        <v>0.32012448132780086</v>
      </c>
      <c r="I78" s="12">
        <v>4209</v>
      </c>
      <c r="J78" s="12"/>
      <c r="K78" s="12">
        <f t="shared" si="16"/>
        <v>4209</v>
      </c>
      <c r="L78" s="12">
        <v>144</v>
      </c>
      <c r="M78" s="12">
        <v>144</v>
      </c>
      <c r="N78" s="12">
        <v>216</v>
      </c>
      <c r="O78" s="12">
        <f t="shared" si="17"/>
        <v>168</v>
      </c>
      <c r="P78" s="12">
        <f>ROUND(O78*설정!$B$5,0)</f>
        <v>202</v>
      </c>
      <c r="Q78" s="12">
        <f t="shared" si="18"/>
        <v>0</v>
      </c>
      <c r="R78" s="10" t="str">
        <f t="shared" si="19"/>
        <v>OK</v>
      </c>
      <c r="S78" s="12">
        <f t="shared" si="20"/>
        <v>751.60714285714289</v>
      </c>
      <c r="T78" s="12">
        <f>MAX(0,ROUND(N(P78)*설정!$B$4-N(K78),0))</f>
        <v>0</v>
      </c>
      <c r="U78" s="12"/>
      <c r="V78" s="34"/>
      <c r="W78" s="26"/>
    </row>
    <row r="79" spans="1:23" ht="20.100000000000001" customHeight="1" x14ac:dyDescent="0.4">
      <c r="A79" s="9" t="s">
        <v>39</v>
      </c>
      <c r="B79" s="25" t="s">
        <v>163</v>
      </c>
      <c r="C79" s="11" t="s">
        <v>171</v>
      </c>
      <c r="D79" s="12">
        <v>2491</v>
      </c>
      <c r="E79" s="12">
        <v>1350</v>
      </c>
      <c r="F79" s="12">
        <f>N(E79)*(1+설정!$B$3)</f>
        <v>1525.4999999999998</v>
      </c>
      <c r="G79" s="12">
        <f t="shared" si="14"/>
        <v>965.50000000000023</v>
      </c>
      <c r="H79" s="13">
        <f t="shared" si="15"/>
        <v>0.38759534323564843</v>
      </c>
      <c r="I79" s="12">
        <v>907</v>
      </c>
      <c r="J79" s="12"/>
      <c r="K79" s="12">
        <f t="shared" si="16"/>
        <v>907</v>
      </c>
      <c r="L79" s="12"/>
      <c r="M79" s="12"/>
      <c r="N79" s="12">
        <v>12</v>
      </c>
      <c r="O79" s="12">
        <f t="shared" si="17"/>
        <v>12</v>
      </c>
      <c r="P79" s="12">
        <f>ROUND(O79*설정!$B$5,0)</f>
        <v>14</v>
      </c>
      <c r="Q79" s="12">
        <f t="shared" si="18"/>
        <v>0</v>
      </c>
      <c r="R79" s="10" t="str">
        <f t="shared" si="19"/>
        <v>OK</v>
      </c>
      <c r="S79" s="12">
        <f t="shared" si="20"/>
        <v>2267.5</v>
      </c>
      <c r="T79" s="12">
        <f>MAX(0,ROUND(N(P79)*설정!$B$4-N(K79),0))</f>
        <v>0</v>
      </c>
      <c r="U79" s="12">
        <v>27</v>
      </c>
      <c r="V79" s="34"/>
      <c r="W79" s="26"/>
    </row>
    <row r="80" spans="1:23" ht="20.100000000000001" customHeight="1" x14ac:dyDescent="0.4">
      <c r="A80" s="9" t="s">
        <v>39</v>
      </c>
      <c r="B80" s="25" t="s">
        <v>163</v>
      </c>
      <c r="C80" s="11" t="s">
        <v>113</v>
      </c>
      <c r="D80" s="12">
        <v>699</v>
      </c>
      <c r="E80" s="12">
        <v>560</v>
      </c>
      <c r="F80" s="12">
        <f>N(E80)*(1+설정!$B$3)</f>
        <v>632.79999999999995</v>
      </c>
      <c r="G80" s="12">
        <f t="shared" si="14"/>
        <v>66.200000000000045</v>
      </c>
      <c r="H80" s="13">
        <f t="shared" si="15"/>
        <v>9.4706723891273312E-2</v>
      </c>
      <c r="I80" s="12">
        <v>850</v>
      </c>
      <c r="J80" s="12"/>
      <c r="K80" s="12">
        <f t="shared" si="16"/>
        <v>850</v>
      </c>
      <c r="L80" s="12">
        <v>96</v>
      </c>
      <c r="M80" s="12">
        <v>24</v>
      </c>
      <c r="N80" s="12">
        <v>12</v>
      </c>
      <c r="O80" s="12">
        <f t="shared" si="17"/>
        <v>44</v>
      </c>
      <c r="P80" s="12">
        <f>ROUND(O80*설정!$B$5,0)</f>
        <v>53</v>
      </c>
      <c r="Q80" s="12">
        <f t="shared" si="18"/>
        <v>0</v>
      </c>
      <c r="R80" s="10" t="str">
        <f t="shared" si="19"/>
        <v>OK</v>
      </c>
      <c r="S80" s="12">
        <f t="shared" si="20"/>
        <v>579.54545454545462</v>
      </c>
      <c r="T80" s="12">
        <f>MAX(0,ROUND(N(P80)*설정!$B$4-N(K80),0))</f>
        <v>0</v>
      </c>
      <c r="U80" s="12"/>
      <c r="V80" s="34"/>
      <c r="W80" s="26"/>
    </row>
    <row r="81" spans="1:23" ht="20.100000000000001" customHeight="1" x14ac:dyDescent="0.4">
      <c r="A81" s="9" t="s">
        <v>39</v>
      </c>
      <c r="B81" s="25" t="s">
        <v>163</v>
      </c>
      <c r="C81" s="11" t="s">
        <v>114</v>
      </c>
      <c r="D81" s="12">
        <v>1200</v>
      </c>
      <c r="E81" s="12">
        <v>715</v>
      </c>
      <c r="F81" s="12">
        <f>N(E81)*(1+설정!$B$3)</f>
        <v>807.94999999999993</v>
      </c>
      <c r="G81" s="12">
        <f t="shared" si="14"/>
        <v>392.05000000000007</v>
      </c>
      <c r="H81" s="13">
        <f t="shared" si="15"/>
        <v>0.32670833333333338</v>
      </c>
      <c r="I81" s="12">
        <v>32</v>
      </c>
      <c r="J81" s="12"/>
      <c r="K81" s="12">
        <f t="shared" si="16"/>
        <v>32</v>
      </c>
      <c r="L81" s="12">
        <v>30</v>
      </c>
      <c r="M81" s="12">
        <v>10</v>
      </c>
      <c r="N81" s="12">
        <v>40</v>
      </c>
      <c r="O81" s="12">
        <f t="shared" si="17"/>
        <v>26.666666666666668</v>
      </c>
      <c r="P81" s="12">
        <f>ROUND(O81*설정!$B$5,0)</f>
        <v>32</v>
      </c>
      <c r="Q81" s="12">
        <f t="shared" si="18"/>
        <v>0</v>
      </c>
      <c r="R81" s="10" t="str">
        <f t="shared" si="19"/>
        <v>OK</v>
      </c>
      <c r="S81" s="12">
        <f t="shared" si="20"/>
        <v>36</v>
      </c>
      <c r="T81" s="12">
        <f>MAX(0,ROUND(N(P81)*설정!$B$4-N(K81),0))</f>
        <v>32</v>
      </c>
      <c r="U81" s="12">
        <v>14</v>
      </c>
      <c r="V81" s="34"/>
      <c r="W81" s="26"/>
    </row>
    <row r="82" spans="1:23" ht="20.100000000000001" customHeight="1" x14ac:dyDescent="0.4">
      <c r="A82" s="9" t="s">
        <v>39</v>
      </c>
      <c r="B82" s="25" t="s">
        <v>163</v>
      </c>
      <c r="C82" s="11" t="s">
        <v>115</v>
      </c>
      <c r="D82" s="12">
        <v>1495</v>
      </c>
      <c r="E82" s="12">
        <v>720</v>
      </c>
      <c r="F82" s="12">
        <f>N(E82)*(1+설정!$B$3)</f>
        <v>813.59999999999991</v>
      </c>
      <c r="G82" s="12">
        <f t="shared" si="14"/>
        <v>681.40000000000009</v>
      </c>
      <c r="H82" s="13">
        <f t="shared" si="15"/>
        <v>0.45578595317725756</v>
      </c>
      <c r="I82" s="12">
        <v>554</v>
      </c>
      <c r="J82" s="12"/>
      <c r="K82" s="12">
        <f t="shared" si="16"/>
        <v>554</v>
      </c>
      <c r="L82" s="12"/>
      <c r="M82" s="12"/>
      <c r="N82" s="12">
        <v>14</v>
      </c>
      <c r="O82" s="12">
        <f t="shared" si="17"/>
        <v>14</v>
      </c>
      <c r="P82" s="12">
        <f>ROUND(O82*설정!$B$5,0)</f>
        <v>17</v>
      </c>
      <c r="Q82" s="12">
        <f t="shared" si="18"/>
        <v>0</v>
      </c>
      <c r="R82" s="10" t="str">
        <f t="shared" si="19"/>
        <v>OK</v>
      </c>
      <c r="S82" s="12">
        <f t="shared" si="20"/>
        <v>1187.1428571428571</v>
      </c>
      <c r="T82" s="12">
        <f>MAX(0,ROUND(N(P82)*설정!$B$4-N(K82),0))</f>
        <v>0</v>
      </c>
      <c r="U82" s="12"/>
      <c r="V82" s="34"/>
      <c r="W82" s="26"/>
    </row>
    <row r="83" spans="1:23" ht="20.100000000000001" customHeight="1" x14ac:dyDescent="0.4">
      <c r="A83" s="9" t="s">
        <v>39</v>
      </c>
      <c r="B83" s="25" t="s">
        <v>163</v>
      </c>
      <c r="C83" s="11" t="s">
        <v>175</v>
      </c>
      <c r="D83" s="12">
        <v>2730</v>
      </c>
      <c r="E83" s="12">
        <v>1580</v>
      </c>
      <c r="F83" s="12">
        <f>N(E83)*(1+설정!$B$3)</f>
        <v>1785.3999999999999</v>
      </c>
      <c r="G83" s="12">
        <f t="shared" si="14"/>
        <v>944.60000000000014</v>
      </c>
      <c r="H83" s="13">
        <f t="shared" si="15"/>
        <v>0.34600732600732603</v>
      </c>
      <c r="I83" s="12">
        <v>2528</v>
      </c>
      <c r="J83" s="12"/>
      <c r="K83" s="12">
        <f t="shared" si="16"/>
        <v>2528</v>
      </c>
      <c r="L83" s="12"/>
      <c r="M83" s="12"/>
      <c r="N83" s="12">
        <v>6</v>
      </c>
      <c r="O83" s="12">
        <f t="shared" si="17"/>
        <v>6</v>
      </c>
      <c r="P83" s="12">
        <f>ROUND(O83*설정!$B$5,0)</f>
        <v>7</v>
      </c>
      <c r="Q83" s="12">
        <f t="shared" si="18"/>
        <v>0</v>
      </c>
      <c r="R83" s="10" t="str">
        <f t="shared" si="19"/>
        <v>OK</v>
      </c>
      <c r="S83" s="12">
        <f t="shared" si="20"/>
        <v>12640</v>
      </c>
      <c r="T83" s="12">
        <f>MAX(0,ROUND(N(P83)*설정!$B$4-N(K83),0))</f>
        <v>0</v>
      </c>
      <c r="U83" s="12">
        <v>24</v>
      </c>
      <c r="V83" s="34"/>
      <c r="W83" s="26"/>
    </row>
    <row r="84" spans="1:23" ht="20.100000000000001" customHeight="1" x14ac:dyDescent="0.4">
      <c r="A84" s="9" t="s">
        <v>39</v>
      </c>
      <c r="B84" s="25" t="s">
        <v>163</v>
      </c>
      <c r="C84" s="11" t="s">
        <v>117</v>
      </c>
      <c r="D84" s="12">
        <v>4875</v>
      </c>
      <c r="E84" s="12">
        <v>990</v>
      </c>
      <c r="F84" s="12">
        <f>N(E84)*(1+설정!$B$3)</f>
        <v>1118.6999999999998</v>
      </c>
      <c r="G84" s="12">
        <f t="shared" si="14"/>
        <v>3756.3</v>
      </c>
      <c r="H84" s="13">
        <f t="shared" si="15"/>
        <v>0.77052307692307698</v>
      </c>
      <c r="I84" s="12">
        <v>81</v>
      </c>
      <c r="J84" s="12"/>
      <c r="K84" s="12">
        <f t="shared" si="16"/>
        <v>81</v>
      </c>
      <c r="L84" s="12"/>
      <c r="M84" s="12"/>
      <c r="N84" s="12"/>
      <c r="O84" s="12">
        <f t="shared" si="17"/>
        <v>0</v>
      </c>
      <c r="P84" s="12">
        <f>ROUND(O84*설정!$B$5,0)</f>
        <v>0</v>
      </c>
      <c r="Q84" s="12">
        <f t="shared" si="18"/>
        <v>0</v>
      </c>
      <c r="R84" s="10" t="str">
        <f t="shared" si="19"/>
        <v>OK</v>
      </c>
      <c r="S84" s="12" t="str">
        <f t="shared" si="20"/>
        <v>-</v>
      </c>
      <c r="T84" s="12">
        <f>MAX(0,ROUND(N(P84)*설정!$B$4-N(K84),0))</f>
        <v>0</v>
      </c>
      <c r="U84" s="12"/>
      <c r="V84" s="34"/>
      <c r="W84" s="26"/>
    </row>
    <row r="85" spans="1:23" ht="20.100000000000001" customHeight="1" x14ac:dyDescent="0.4">
      <c r="A85" s="9" t="s">
        <v>39</v>
      </c>
      <c r="B85" s="25" t="s">
        <v>163</v>
      </c>
      <c r="C85" s="11" t="s">
        <v>118</v>
      </c>
      <c r="D85" s="12">
        <v>4875</v>
      </c>
      <c r="E85" s="12">
        <v>990</v>
      </c>
      <c r="F85" s="12">
        <f>N(E85)*(1+설정!$B$3)</f>
        <v>1118.6999999999998</v>
      </c>
      <c r="G85" s="12">
        <f t="shared" si="14"/>
        <v>3756.3</v>
      </c>
      <c r="H85" s="13">
        <f t="shared" si="15"/>
        <v>0.77052307692307698</v>
      </c>
      <c r="I85" s="12">
        <v>26</v>
      </c>
      <c r="J85" s="12"/>
      <c r="K85" s="12">
        <f t="shared" si="16"/>
        <v>26</v>
      </c>
      <c r="L85" s="12"/>
      <c r="M85" s="12"/>
      <c r="N85" s="12"/>
      <c r="O85" s="12">
        <f t="shared" si="17"/>
        <v>0</v>
      </c>
      <c r="P85" s="12">
        <f>ROUND(O85*설정!$B$5,0)</f>
        <v>0</v>
      </c>
      <c r="Q85" s="12">
        <f t="shared" si="18"/>
        <v>0</v>
      </c>
      <c r="R85" s="10" t="str">
        <f t="shared" si="19"/>
        <v>OK</v>
      </c>
      <c r="S85" s="12" t="str">
        <f t="shared" si="20"/>
        <v>-</v>
      </c>
      <c r="T85" s="12">
        <f>MAX(0,ROUND(N(P85)*설정!$B$4-N(K85),0))</f>
        <v>0</v>
      </c>
      <c r="U85" s="12"/>
      <c r="V85" s="34"/>
      <c r="W85" s="26"/>
    </row>
    <row r="86" spans="1:23" ht="20.100000000000001" customHeight="1" x14ac:dyDescent="0.4">
      <c r="A86" s="9" t="s">
        <v>39</v>
      </c>
      <c r="B86" s="25" t="s">
        <v>163</v>
      </c>
      <c r="C86" s="11" t="s">
        <v>119</v>
      </c>
      <c r="D86" s="12">
        <v>628</v>
      </c>
      <c r="E86" s="12">
        <v>375</v>
      </c>
      <c r="F86" s="12">
        <f>N(E86)*(1+설정!$B$3)</f>
        <v>423.74999999999994</v>
      </c>
      <c r="G86" s="12">
        <f t="shared" si="14"/>
        <v>204.25000000000006</v>
      </c>
      <c r="H86" s="13">
        <f t="shared" si="15"/>
        <v>0.32523885350318482</v>
      </c>
      <c r="I86" s="12">
        <v>889</v>
      </c>
      <c r="J86" s="12"/>
      <c r="K86" s="12">
        <f t="shared" si="16"/>
        <v>889</v>
      </c>
      <c r="L86" s="12">
        <v>60</v>
      </c>
      <c r="M86" s="12">
        <v>60</v>
      </c>
      <c r="N86" s="12">
        <v>12</v>
      </c>
      <c r="O86" s="12">
        <f t="shared" si="17"/>
        <v>44</v>
      </c>
      <c r="P86" s="12">
        <f>ROUND(O86*설정!$B$5,0)</f>
        <v>53</v>
      </c>
      <c r="Q86" s="12">
        <f t="shared" si="18"/>
        <v>0</v>
      </c>
      <c r="R86" s="10" t="str">
        <f t="shared" si="19"/>
        <v>OK</v>
      </c>
      <c r="S86" s="12">
        <f t="shared" si="20"/>
        <v>606.13636363636363</v>
      </c>
      <c r="T86" s="12">
        <f>MAX(0,ROUND(N(P86)*설정!$B$4-N(K86),0))</f>
        <v>0</v>
      </c>
      <c r="U86" s="12"/>
      <c r="V86" s="34"/>
      <c r="W86" s="26"/>
    </row>
    <row r="87" spans="1:23" ht="20.100000000000001" customHeight="1" x14ac:dyDescent="0.4">
      <c r="A87" s="9" t="s">
        <v>39</v>
      </c>
      <c r="B87" s="25" t="s">
        <v>163</v>
      </c>
      <c r="C87" s="11" t="s">
        <v>120</v>
      </c>
      <c r="D87" s="12">
        <v>1137</v>
      </c>
      <c r="E87" s="12">
        <v>620</v>
      </c>
      <c r="F87" s="12">
        <f>N(E87)*(1+설정!$B$3)</f>
        <v>700.59999999999991</v>
      </c>
      <c r="G87" s="12">
        <f t="shared" si="14"/>
        <v>436.40000000000009</v>
      </c>
      <c r="H87" s="13">
        <f t="shared" si="15"/>
        <v>0.38381706244503089</v>
      </c>
      <c r="I87" s="12">
        <v>0</v>
      </c>
      <c r="J87" s="12">
        <v>4320</v>
      </c>
      <c r="K87" s="12">
        <f t="shared" si="16"/>
        <v>4320</v>
      </c>
      <c r="L87" s="12">
        <v>126</v>
      </c>
      <c r="M87" s="12">
        <v>18</v>
      </c>
      <c r="N87" s="12">
        <v>54</v>
      </c>
      <c r="O87" s="12">
        <f t="shared" si="17"/>
        <v>66</v>
      </c>
      <c r="P87" s="12">
        <f>ROUND(O87*설정!$B$5,0)</f>
        <v>79</v>
      </c>
      <c r="Q87" s="12">
        <f t="shared" si="18"/>
        <v>0</v>
      </c>
      <c r="R87" s="10" t="str">
        <f t="shared" si="19"/>
        <v>OK</v>
      </c>
      <c r="S87" s="12">
        <f t="shared" si="20"/>
        <v>1963.6363636363635</v>
      </c>
      <c r="T87" s="12">
        <f>MAX(0,ROUND(N(P87)*설정!$B$4-N(K87),0))</f>
        <v>0</v>
      </c>
      <c r="U87" s="12"/>
      <c r="V87" s="34"/>
      <c r="W87" s="26"/>
    </row>
    <row r="88" spans="1:23" ht="20.100000000000001" customHeight="1" x14ac:dyDescent="0.4">
      <c r="A88" s="9" t="s">
        <v>39</v>
      </c>
      <c r="B88" s="25" t="s">
        <v>163</v>
      </c>
      <c r="C88" s="11" t="s">
        <v>177</v>
      </c>
      <c r="D88" s="12">
        <v>477</v>
      </c>
      <c r="E88" s="12">
        <v>370</v>
      </c>
      <c r="F88" s="12">
        <f>N(E88)*(1+설정!$B$3)</f>
        <v>418.09999999999997</v>
      </c>
      <c r="G88" s="12">
        <f t="shared" si="14"/>
        <v>58.900000000000034</v>
      </c>
      <c r="H88" s="13">
        <f t="shared" si="15"/>
        <v>0.12348008385744241</v>
      </c>
      <c r="I88" s="12">
        <v>10728</v>
      </c>
      <c r="J88" s="12"/>
      <c r="K88" s="12">
        <f t="shared" si="16"/>
        <v>10728</v>
      </c>
      <c r="L88" s="12"/>
      <c r="M88" s="12"/>
      <c r="N88" s="12"/>
      <c r="O88" s="12">
        <f t="shared" si="17"/>
        <v>0</v>
      </c>
      <c r="P88" s="12">
        <f>ROUND(O88*설정!$B$5,0)</f>
        <v>0</v>
      </c>
      <c r="Q88" s="12">
        <f t="shared" si="18"/>
        <v>0</v>
      </c>
      <c r="R88" s="10" t="str">
        <f t="shared" si="19"/>
        <v>OK</v>
      </c>
      <c r="S88" s="12" t="str">
        <f t="shared" si="20"/>
        <v>-</v>
      </c>
      <c r="T88" s="12">
        <f>MAX(0,ROUND(N(P88)*설정!$B$4-N(K88),0))</f>
        <v>0</v>
      </c>
      <c r="U88" s="12"/>
      <c r="V88" s="34"/>
      <c r="W88" s="26"/>
    </row>
    <row r="89" spans="1:23" ht="20.100000000000001" customHeight="1" x14ac:dyDescent="0.4">
      <c r="A89" s="9" t="s">
        <v>39</v>
      </c>
      <c r="B89" s="25" t="s">
        <v>163</v>
      </c>
      <c r="C89" s="11" t="s">
        <v>178</v>
      </c>
      <c r="D89" s="12">
        <v>4875</v>
      </c>
      <c r="E89" s="12">
        <v>990</v>
      </c>
      <c r="F89" s="12">
        <f>N(E89)*(1+설정!$B$3)</f>
        <v>1118.6999999999998</v>
      </c>
      <c r="G89" s="12">
        <f t="shared" si="14"/>
        <v>3756.3</v>
      </c>
      <c r="H89" s="13">
        <f t="shared" si="15"/>
        <v>0.77052307692307698</v>
      </c>
      <c r="I89" s="12">
        <v>2</v>
      </c>
      <c r="J89" s="12"/>
      <c r="K89" s="12">
        <f t="shared" si="16"/>
        <v>2</v>
      </c>
      <c r="L89" s="12"/>
      <c r="M89" s="12"/>
      <c r="N89" s="12"/>
      <c r="O89" s="12">
        <f t="shared" si="17"/>
        <v>0</v>
      </c>
      <c r="P89" s="12">
        <f>ROUND(O89*설정!$B$5,0)</f>
        <v>0</v>
      </c>
      <c r="Q89" s="12">
        <f t="shared" si="18"/>
        <v>0</v>
      </c>
      <c r="R89" s="10" t="str">
        <f t="shared" si="19"/>
        <v>OK</v>
      </c>
      <c r="S89" s="12" t="str">
        <f t="shared" si="20"/>
        <v>-</v>
      </c>
      <c r="T89" s="12">
        <f>MAX(0,ROUND(N(P89)*설정!$B$4-N(K89),0))</f>
        <v>0</v>
      </c>
      <c r="U89" s="12"/>
      <c r="V89" s="34"/>
      <c r="W89" s="26"/>
    </row>
    <row r="90" spans="1:23" ht="20.100000000000001" customHeight="1" x14ac:dyDescent="0.4">
      <c r="A90" s="9" t="s">
        <v>39</v>
      </c>
      <c r="B90" s="25" t="s">
        <v>163</v>
      </c>
      <c r="C90" s="11" t="s">
        <v>123</v>
      </c>
      <c r="D90" s="12">
        <v>1178</v>
      </c>
      <c r="E90" s="12">
        <v>670</v>
      </c>
      <c r="F90" s="12">
        <f>N(E90)*(1+설정!$B$3)</f>
        <v>757.09999999999991</v>
      </c>
      <c r="G90" s="12">
        <f t="shared" si="14"/>
        <v>420.90000000000009</v>
      </c>
      <c r="H90" s="13">
        <f t="shared" si="15"/>
        <v>0.35730050933786084</v>
      </c>
      <c r="I90" s="12">
        <v>40</v>
      </c>
      <c r="J90" s="12"/>
      <c r="K90" s="12">
        <f t="shared" si="16"/>
        <v>40</v>
      </c>
      <c r="L90" s="12"/>
      <c r="M90" s="12"/>
      <c r="N90" s="12"/>
      <c r="O90" s="12">
        <f t="shared" si="17"/>
        <v>0</v>
      </c>
      <c r="P90" s="12">
        <f>ROUND(O90*설정!$B$5,0)</f>
        <v>0</v>
      </c>
      <c r="Q90" s="12">
        <f t="shared" si="18"/>
        <v>0</v>
      </c>
      <c r="R90" s="10" t="str">
        <f t="shared" si="19"/>
        <v>OK</v>
      </c>
      <c r="S90" s="12" t="str">
        <f t="shared" si="20"/>
        <v>-</v>
      </c>
      <c r="T90" s="12">
        <f>MAX(0,ROUND(N(P90)*설정!$B$4-N(K90),0))</f>
        <v>0</v>
      </c>
      <c r="U90" s="12"/>
      <c r="V90" s="34"/>
      <c r="W90" s="26"/>
    </row>
    <row r="91" spans="1:23" ht="20.100000000000001" customHeight="1" x14ac:dyDescent="0.4">
      <c r="A91" s="9" t="s">
        <v>39</v>
      </c>
      <c r="B91" s="25" t="s">
        <v>163</v>
      </c>
      <c r="C91" s="11" t="s">
        <v>124</v>
      </c>
      <c r="D91" s="12">
        <v>4875</v>
      </c>
      <c r="E91" s="12">
        <v>990</v>
      </c>
      <c r="F91" s="12">
        <f>N(E91)*(1+설정!$B$3)</f>
        <v>1118.6999999999998</v>
      </c>
      <c r="G91" s="12">
        <f t="shared" si="14"/>
        <v>3756.3</v>
      </c>
      <c r="H91" s="13">
        <f t="shared" si="15"/>
        <v>0.77052307692307698</v>
      </c>
      <c r="I91" s="12">
        <v>76</v>
      </c>
      <c r="J91" s="12"/>
      <c r="K91" s="12">
        <f t="shared" si="16"/>
        <v>76</v>
      </c>
      <c r="L91" s="12"/>
      <c r="M91" s="12"/>
      <c r="N91" s="12">
        <v>8</v>
      </c>
      <c r="O91" s="12">
        <f t="shared" si="17"/>
        <v>8</v>
      </c>
      <c r="P91" s="12">
        <f>ROUND(O91*설정!$B$5,0)</f>
        <v>10</v>
      </c>
      <c r="Q91" s="12">
        <f t="shared" si="18"/>
        <v>0</v>
      </c>
      <c r="R91" s="10" t="str">
        <f t="shared" si="19"/>
        <v>OK</v>
      </c>
      <c r="S91" s="12">
        <f t="shared" si="20"/>
        <v>285</v>
      </c>
      <c r="T91" s="12">
        <f>MAX(0,ROUND(N(P91)*설정!$B$4-N(K91),0))</f>
        <v>0</v>
      </c>
      <c r="U91" s="12"/>
      <c r="V91" s="34"/>
      <c r="W91" s="26"/>
    </row>
    <row r="92" spans="1:23" ht="20.100000000000001" customHeight="1" x14ac:dyDescent="0.4">
      <c r="A92" s="9" t="s">
        <v>39</v>
      </c>
      <c r="B92" s="25" t="s">
        <v>163</v>
      </c>
      <c r="C92" s="11" t="s">
        <v>125</v>
      </c>
      <c r="D92" s="12">
        <v>2145</v>
      </c>
      <c r="E92" s="12">
        <v>1240</v>
      </c>
      <c r="F92" s="12">
        <f>N(E92)*(1+설정!$B$3)</f>
        <v>1401.1999999999998</v>
      </c>
      <c r="G92" s="12">
        <f t="shared" si="14"/>
        <v>743.80000000000018</v>
      </c>
      <c r="H92" s="13">
        <f t="shared" si="15"/>
        <v>0.34675990675990687</v>
      </c>
      <c r="I92" s="12">
        <v>744</v>
      </c>
      <c r="J92" s="12"/>
      <c r="K92" s="12">
        <f t="shared" si="16"/>
        <v>744</v>
      </c>
      <c r="L92" s="12">
        <v>27</v>
      </c>
      <c r="M92" s="12">
        <v>24</v>
      </c>
      <c r="N92" s="12">
        <v>57</v>
      </c>
      <c r="O92" s="12">
        <f t="shared" si="17"/>
        <v>36</v>
      </c>
      <c r="P92" s="12">
        <f>ROUND(O92*설정!$B$5,0)</f>
        <v>43</v>
      </c>
      <c r="Q92" s="12">
        <f t="shared" si="18"/>
        <v>0</v>
      </c>
      <c r="R92" s="10" t="str">
        <f t="shared" si="19"/>
        <v>OK</v>
      </c>
      <c r="S92" s="12">
        <f t="shared" si="20"/>
        <v>620</v>
      </c>
      <c r="T92" s="12">
        <f>MAX(0,ROUND(N(P92)*설정!$B$4-N(K92),0))</f>
        <v>0</v>
      </c>
      <c r="U92" s="12"/>
      <c r="V92" s="34"/>
      <c r="W92" s="26"/>
    </row>
    <row r="93" spans="1:23" ht="20.100000000000001" customHeight="1" x14ac:dyDescent="0.4">
      <c r="A93" s="9" t="s">
        <v>39</v>
      </c>
      <c r="B93" s="25" t="s">
        <v>163</v>
      </c>
      <c r="C93" s="11" t="s">
        <v>126</v>
      </c>
      <c r="D93" s="12">
        <v>7085</v>
      </c>
      <c r="E93" s="12">
        <v>4300</v>
      </c>
      <c r="F93" s="12">
        <f>N(E93)*(1+설정!$B$3)</f>
        <v>4858.9999999999991</v>
      </c>
      <c r="G93" s="12">
        <f t="shared" si="14"/>
        <v>2226.0000000000009</v>
      </c>
      <c r="H93" s="13">
        <f t="shared" si="15"/>
        <v>0.31418489767113633</v>
      </c>
      <c r="I93" s="12">
        <v>1048</v>
      </c>
      <c r="J93" s="12"/>
      <c r="K93" s="12">
        <f t="shared" si="16"/>
        <v>1048</v>
      </c>
      <c r="L93" s="12"/>
      <c r="M93" s="12"/>
      <c r="N93" s="12">
        <v>22</v>
      </c>
      <c r="O93" s="12">
        <f t="shared" si="17"/>
        <v>22</v>
      </c>
      <c r="P93" s="12">
        <f>ROUND(O93*설정!$B$5,0)</f>
        <v>26</v>
      </c>
      <c r="Q93" s="12">
        <f t="shared" si="18"/>
        <v>0</v>
      </c>
      <c r="R93" s="10" t="str">
        <f t="shared" si="19"/>
        <v>OK</v>
      </c>
      <c r="S93" s="12">
        <f t="shared" si="20"/>
        <v>1429.0909090909092</v>
      </c>
      <c r="T93" s="12">
        <f>MAX(0,ROUND(N(P93)*설정!$B$4-N(K93),0))</f>
        <v>0</v>
      </c>
      <c r="U93" s="12"/>
      <c r="V93" s="34"/>
      <c r="W93" s="26"/>
    </row>
    <row r="94" spans="1:23" ht="20.100000000000001" customHeight="1" x14ac:dyDescent="0.4">
      <c r="A94" s="9" t="s">
        <v>39</v>
      </c>
      <c r="B94" s="25" t="s">
        <v>163</v>
      </c>
      <c r="C94" s="11" t="s">
        <v>127</v>
      </c>
      <c r="D94" s="12">
        <v>528</v>
      </c>
      <c r="E94" s="12">
        <v>450</v>
      </c>
      <c r="F94" s="12">
        <f>N(E94)*(1+설정!$B$3)</f>
        <v>508.49999999999994</v>
      </c>
      <c r="G94" s="12">
        <f t="shared" si="14"/>
        <v>19.500000000000057</v>
      </c>
      <c r="H94" s="13">
        <f t="shared" si="15"/>
        <v>3.6931818181818288E-2</v>
      </c>
      <c r="I94" s="12">
        <v>1</v>
      </c>
      <c r="J94" s="12"/>
      <c r="K94" s="12">
        <f t="shared" si="16"/>
        <v>1</v>
      </c>
      <c r="L94" s="12"/>
      <c r="M94" s="12"/>
      <c r="N94" s="12"/>
      <c r="O94" s="12">
        <f t="shared" si="17"/>
        <v>0</v>
      </c>
      <c r="P94" s="12">
        <f>ROUND(O94*설정!$B$5,0)</f>
        <v>0</v>
      </c>
      <c r="Q94" s="12">
        <f t="shared" si="18"/>
        <v>0</v>
      </c>
      <c r="R94" s="10" t="str">
        <f t="shared" si="19"/>
        <v>OK</v>
      </c>
      <c r="S94" s="12" t="str">
        <f t="shared" si="20"/>
        <v>-</v>
      </c>
      <c r="T94" s="12">
        <f>MAX(0,ROUND(N(P94)*설정!$B$4-N(K94),0))</f>
        <v>0</v>
      </c>
      <c r="U94" s="12"/>
      <c r="V94" s="34"/>
      <c r="W94" s="26"/>
    </row>
    <row r="95" spans="1:23" ht="20.100000000000001" customHeight="1" x14ac:dyDescent="0.4">
      <c r="A95" s="9" t="s">
        <v>39</v>
      </c>
      <c r="B95" s="25" t="s">
        <v>163</v>
      </c>
      <c r="C95" s="11" t="s">
        <v>128</v>
      </c>
      <c r="D95" s="12">
        <v>4243</v>
      </c>
      <c r="E95" s="12">
        <v>3050</v>
      </c>
      <c r="F95" s="12">
        <f>N(E95)*(1+설정!$B$3)</f>
        <v>3446.4999999999995</v>
      </c>
      <c r="G95" s="12">
        <f t="shared" si="14"/>
        <v>796.50000000000045</v>
      </c>
      <c r="H95" s="13">
        <f t="shared" si="15"/>
        <v>0.18772095215649315</v>
      </c>
      <c r="I95" s="12">
        <v>22</v>
      </c>
      <c r="J95" s="12"/>
      <c r="K95" s="12">
        <f t="shared" si="16"/>
        <v>22</v>
      </c>
      <c r="L95" s="12"/>
      <c r="M95" s="12"/>
      <c r="N95" s="12">
        <v>18</v>
      </c>
      <c r="O95" s="12">
        <f t="shared" si="17"/>
        <v>18</v>
      </c>
      <c r="P95" s="12">
        <f>ROUND(O95*설정!$B$5,0)</f>
        <v>22</v>
      </c>
      <c r="Q95" s="12">
        <f t="shared" si="18"/>
        <v>0</v>
      </c>
      <c r="R95" s="10" t="str">
        <f t="shared" si="19"/>
        <v>OK</v>
      </c>
      <c r="S95" s="12">
        <f t="shared" si="20"/>
        <v>36.666666666666671</v>
      </c>
      <c r="T95" s="12">
        <f>MAX(0,ROUND(N(P95)*설정!$B$4-N(K95),0))</f>
        <v>22</v>
      </c>
      <c r="U95" s="12"/>
      <c r="V95" s="34"/>
      <c r="W95" s="26"/>
    </row>
    <row r="96" spans="1:23" ht="20.100000000000001" customHeight="1" x14ac:dyDescent="0.4">
      <c r="A96" s="9" t="s">
        <v>39</v>
      </c>
      <c r="B96" s="25" t="s">
        <v>163</v>
      </c>
      <c r="C96" s="11" t="s">
        <v>130</v>
      </c>
      <c r="D96" s="12">
        <v>550</v>
      </c>
      <c r="E96" s="12">
        <v>292</v>
      </c>
      <c r="F96" s="12">
        <f>N(E96)*(1+설정!$B$3)</f>
        <v>329.96</v>
      </c>
      <c r="G96" s="12">
        <f t="shared" si="14"/>
        <v>220.04000000000002</v>
      </c>
      <c r="H96" s="13">
        <f t="shared" si="15"/>
        <v>0.4000727272727273</v>
      </c>
      <c r="I96" s="12">
        <v>2437</v>
      </c>
      <c r="J96" s="12"/>
      <c r="K96" s="12">
        <f t="shared" si="16"/>
        <v>2437</v>
      </c>
      <c r="L96" s="12">
        <v>108</v>
      </c>
      <c r="M96" s="12">
        <v>216</v>
      </c>
      <c r="N96" s="12">
        <v>120</v>
      </c>
      <c r="O96" s="12">
        <f t="shared" si="17"/>
        <v>148</v>
      </c>
      <c r="P96" s="12">
        <f>ROUND(O96*설정!$B$5,0)</f>
        <v>178</v>
      </c>
      <c r="Q96" s="12">
        <f t="shared" si="18"/>
        <v>0</v>
      </c>
      <c r="R96" s="10" t="str">
        <f t="shared" si="19"/>
        <v>OK</v>
      </c>
      <c r="S96" s="12">
        <f t="shared" si="20"/>
        <v>493.98648648648646</v>
      </c>
      <c r="T96" s="12">
        <f>MAX(0,ROUND(N(P96)*설정!$B$4-N(K96),0))</f>
        <v>0</v>
      </c>
      <c r="U96" s="12"/>
      <c r="V96" s="34"/>
      <c r="W96" s="26"/>
    </row>
    <row r="97" spans="1:23" ht="20.100000000000001" customHeight="1" x14ac:dyDescent="0.4">
      <c r="A97" s="9" t="s">
        <v>39</v>
      </c>
      <c r="B97" s="25" t="s">
        <v>163</v>
      </c>
      <c r="C97" s="11" t="s">
        <v>131</v>
      </c>
      <c r="D97" s="12">
        <v>250</v>
      </c>
      <c r="E97" s="12">
        <v>180</v>
      </c>
      <c r="F97" s="12">
        <f>N(E97)*(1+설정!$B$3)</f>
        <v>203.39999999999998</v>
      </c>
      <c r="G97" s="12">
        <f t="shared" si="14"/>
        <v>46.600000000000023</v>
      </c>
      <c r="H97" s="13">
        <f t="shared" si="15"/>
        <v>0.18640000000000009</v>
      </c>
      <c r="I97" s="12">
        <v>582</v>
      </c>
      <c r="J97" s="12"/>
      <c r="K97" s="12">
        <f t="shared" si="16"/>
        <v>582</v>
      </c>
      <c r="L97" s="12">
        <v>240</v>
      </c>
      <c r="M97" s="12">
        <v>120</v>
      </c>
      <c r="N97" s="12">
        <v>120</v>
      </c>
      <c r="O97" s="12">
        <f t="shared" si="17"/>
        <v>160</v>
      </c>
      <c r="P97" s="12">
        <f>ROUND(O97*설정!$B$5,0)</f>
        <v>192</v>
      </c>
      <c r="Q97" s="12">
        <f t="shared" si="18"/>
        <v>0</v>
      </c>
      <c r="R97" s="10" t="str">
        <f t="shared" si="19"/>
        <v>OK</v>
      </c>
      <c r="S97" s="12">
        <f t="shared" si="20"/>
        <v>109.125</v>
      </c>
      <c r="T97" s="12">
        <f>MAX(0,ROUND(N(P97)*설정!$B$4-N(K97),0))</f>
        <v>0</v>
      </c>
      <c r="U97" s="12"/>
      <c r="V97" s="34"/>
      <c r="W97" s="26"/>
    </row>
    <row r="98" spans="1:23" ht="20.100000000000001" customHeight="1" x14ac:dyDescent="0.4">
      <c r="A98" s="9" t="s">
        <v>39</v>
      </c>
      <c r="B98" s="25" t="s">
        <v>163</v>
      </c>
      <c r="C98" s="11" t="s">
        <v>132</v>
      </c>
      <c r="D98" s="12">
        <v>322</v>
      </c>
      <c r="E98" s="12">
        <v>180</v>
      </c>
      <c r="F98" s="12">
        <f>N(E98)*(1+설정!$B$3)</f>
        <v>203.39999999999998</v>
      </c>
      <c r="G98" s="12">
        <f t="shared" ref="G98:G129" si="21">N(D98)-F98</f>
        <v>118.60000000000002</v>
      </c>
      <c r="H98" s="13">
        <f t="shared" ref="H98:H129" si="22">IF(N(D98)=0,"-",G98/N(D98))</f>
        <v>0.36832298136645969</v>
      </c>
      <c r="I98" s="12"/>
      <c r="J98" s="12"/>
      <c r="K98" s="12">
        <f t="shared" ref="K98:K129" si="23">N(I98)+N(J98)</f>
        <v>0</v>
      </c>
      <c r="L98" s="12"/>
      <c r="M98" s="12"/>
      <c r="N98" s="12">
        <v>216</v>
      </c>
      <c r="O98" s="12">
        <f t="shared" ref="O98:O129" si="24">IF(COUNT(L98,M98,N98)=0,0,AVERAGE(L98,M98,N98))</f>
        <v>216</v>
      </c>
      <c r="P98" s="12">
        <f>ROUND(O98*설정!$B$5,0)</f>
        <v>259</v>
      </c>
      <c r="Q98" s="12">
        <f t="shared" ref="Q98:Q129" si="25">MAX(0,N(P98)-N(K98))</f>
        <v>259</v>
      </c>
      <c r="R98" s="10" t="str">
        <f t="shared" ref="R98:R129" si="26">IF(N(K98)&lt;N(P98),"⚠ 부족","OK")</f>
        <v>⚠ 부족</v>
      </c>
      <c r="S98" s="12">
        <f t="shared" ref="S98:S129" si="27">IF(O98=0,"-",K98/(O98/30))</f>
        <v>0</v>
      </c>
      <c r="T98" s="12">
        <f>MAX(0,ROUND(N(P98)*설정!$B$4-N(K98),0))</f>
        <v>518</v>
      </c>
      <c r="U98" s="12"/>
      <c r="V98" s="34"/>
      <c r="W98" s="26"/>
    </row>
    <row r="99" spans="1:23" ht="20.100000000000001" customHeight="1" x14ac:dyDescent="0.4">
      <c r="A99" s="9" t="s">
        <v>39</v>
      </c>
      <c r="B99" s="25" t="s">
        <v>163</v>
      </c>
      <c r="C99" s="11" t="s">
        <v>134</v>
      </c>
      <c r="D99" s="12">
        <v>2730</v>
      </c>
      <c r="E99" s="12">
        <v>1380</v>
      </c>
      <c r="F99" s="12">
        <f>N(E99)*(1+설정!$B$3)</f>
        <v>1559.3999999999999</v>
      </c>
      <c r="G99" s="12">
        <f t="shared" si="21"/>
        <v>1170.6000000000001</v>
      </c>
      <c r="H99" s="13">
        <f t="shared" si="22"/>
        <v>0.42879120879120886</v>
      </c>
      <c r="I99" s="12">
        <v>118</v>
      </c>
      <c r="J99" s="12"/>
      <c r="K99" s="12">
        <f t="shared" si="23"/>
        <v>118</v>
      </c>
      <c r="L99" s="12"/>
      <c r="M99" s="12">
        <v>17</v>
      </c>
      <c r="N99" s="12">
        <v>31</v>
      </c>
      <c r="O99" s="12">
        <f t="shared" si="24"/>
        <v>24</v>
      </c>
      <c r="P99" s="12">
        <f>ROUND(O99*설정!$B$5,0)</f>
        <v>29</v>
      </c>
      <c r="Q99" s="12">
        <f t="shared" si="25"/>
        <v>0</v>
      </c>
      <c r="R99" s="10" t="str">
        <f t="shared" si="26"/>
        <v>OK</v>
      </c>
      <c r="S99" s="12">
        <f t="shared" si="27"/>
        <v>147.5</v>
      </c>
      <c r="T99" s="12">
        <f>MAX(0,ROUND(N(P99)*설정!$B$4-N(K99),0))</f>
        <v>0</v>
      </c>
      <c r="U99" s="12"/>
      <c r="V99" s="34"/>
      <c r="W99" s="26"/>
    </row>
    <row r="100" spans="1:23" ht="20.100000000000001" customHeight="1" x14ac:dyDescent="0.4">
      <c r="A100" s="9" t="s">
        <v>39</v>
      </c>
      <c r="B100" s="25" t="s">
        <v>163</v>
      </c>
      <c r="C100" s="11" t="s">
        <v>137</v>
      </c>
      <c r="D100" s="12">
        <v>838</v>
      </c>
      <c r="E100" s="12">
        <v>650</v>
      </c>
      <c r="F100" s="12">
        <f>N(E100)*(1+설정!$B$3)</f>
        <v>734.49999999999989</v>
      </c>
      <c r="G100" s="12">
        <f t="shared" si="21"/>
        <v>103.50000000000011</v>
      </c>
      <c r="H100" s="13">
        <f t="shared" si="22"/>
        <v>0.12350835322195718</v>
      </c>
      <c r="I100" s="12">
        <v>4221</v>
      </c>
      <c r="J100" s="12"/>
      <c r="K100" s="12">
        <f t="shared" si="23"/>
        <v>4221</v>
      </c>
      <c r="L100" s="12"/>
      <c r="M100" s="12">
        <v>20</v>
      </c>
      <c r="N100" s="12"/>
      <c r="O100" s="12">
        <f t="shared" si="24"/>
        <v>20</v>
      </c>
      <c r="P100" s="12">
        <f>ROUND(O100*설정!$B$5,0)</f>
        <v>24</v>
      </c>
      <c r="Q100" s="12">
        <f t="shared" si="25"/>
        <v>0</v>
      </c>
      <c r="R100" s="10" t="str">
        <f t="shared" si="26"/>
        <v>OK</v>
      </c>
      <c r="S100" s="12">
        <f t="shared" si="27"/>
        <v>6331.5</v>
      </c>
      <c r="T100" s="12">
        <f>MAX(0,ROUND(N(P100)*설정!$B$4-N(K100),0))</f>
        <v>0</v>
      </c>
      <c r="U100" s="12"/>
      <c r="V100" s="34"/>
      <c r="W100" s="26"/>
    </row>
    <row r="101" spans="1:23" ht="20.100000000000001" customHeight="1" x14ac:dyDescent="0.4">
      <c r="A101" s="9" t="s">
        <v>39</v>
      </c>
      <c r="B101" s="25" t="s">
        <v>163</v>
      </c>
      <c r="C101" s="11" t="s">
        <v>140</v>
      </c>
      <c r="D101" s="12">
        <v>1300</v>
      </c>
      <c r="E101" s="12">
        <v>730</v>
      </c>
      <c r="F101" s="12">
        <f>N(E101)*(1+설정!$B$3)</f>
        <v>824.9</v>
      </c>
      <c r="G101" s="12">
        <f t="shared" si="21"/>
        <v>475.1</v>
      </c>
      <c r="H101" s="13">
        <f t="shared" si="22"/>
        <v>0.3654615384615385</v>
      </c>
      <c r="I101" s="12">
        <v>385</v>
      </c>
      <c r="J101" s="12"/>
      <c r="K101" s="12">
        <f t="shared" si="23"/>
        <v>385</v>
      </c>
      <c r="L101" s="12"/>
      <c r="M101" s="12"/>
      <c r="N101" s="12"/>
      <c r="O101" s="12">
        <f t="shared" si="24"/>
        <v>0</v>
      </c>
      <c r="P101" s="12">
        <f>ROUND(O101*설정!$B$5,0)</f>
        <v>0</v>
      </c>
      <c r="Q101" s="12">
        <f t="shared" si="25"/>
        <v>0</v>
      </c>
      <c r="R101" s="10" t="str">
        <f t="shared" si="26"/>
        <v>OK</v>
      </c>
      <c r="S101" s="12" t="str">
        <f t="shared" si="27"/>
        <v>-</v>
      </c>
      <c r="T101" s="12">
        <f>MAX(0,ROUND(N(P101)*설정!$B$4-N(K101),0))</f>
        <v>0</v>
      </c>
      <c r="U101" s="12"/>
      <c r="V101" s="34"/>
      <c r="W101" s="26"/>
    </row>
    <row r="102" spans="1:23" ht="20.100000000000001" customHeight="1" x14ac:dyDescent="0.4">
      <c r="A102" s="9" t="s">
        <v>39</v>
      </c>
      <c r="B102" s="25" t="s">
        <v>163</v>
      </c>
      <c r="C102" s="11" t="s">
        <v>141</v>
      </c>
      <c r="D102" s="12">
        <v>457</v>
      </c>
      <c r="E102" s="12">
        <v>255</v>
      </c>
      <c r="F102" s="12">
        <f>N(E102)*(1+설정!$B$3)</f>
        <v>288.14999999999998</v>
      </c>
      <c r="G102" s="12">
        <f t="shared" si="21"/>
        <v>168.85000000000002</v>
      </c>
      <c r="H102" s="13">
        <f t="shared" si="22"/>
        <v>0.36947483588621449</v>
      </c>
      <c r="I102" s="12">
        <v>10</v>
      </c>
      <c r="J102" s="12"/>
      <c r="K102" s="12">
        <f t="shared" si="23"/>
        <v>10</v>
      </c>
      <c r="L102" s="12"/>
      <c r="M102" s="12"/>
      <c r="N102" s="12"/>
      <c r="O102" s="12">
        <f t="shared" si="24"/>
        <v>0</v>
      </c>
      <c r="P102" s="12">
        <f>ROUND(O102*설정!$B$5,0)</f>
        <v>0</v>
      </c>
      <c r="Q102" s="12">
        <f t="shared" si="25"/>
        <v>0</v>
      </c>
      <c r="R102" s="10" t="str">
        <f t="shared" si="26"/>
        <v>OK</v>
      </c>
      <c r="S102" s="12" t="str">
        <f t="shared" si="27"/>
        <v>-</v>
      </c>
      <c r="T102" s="12">
        <f>MAX(0,ROUND(N(P102)*설정!$B$4-N(K102),0))</f>
        <v>0</v>
      </c>
      <c r="U102" s="12"/>
      <c r="V102" s="34"/>
      <c r="W102" s="26"/>
    </row>
    <row r="103" spans="1:23" ht="20.100000000000001" customHeight="1" x14ac:dyDescent="0.4">
      <c r="A103" s="9" t="s">
        <v>39</v>
      </c>
      <c r="B103" s="25" t="s">
        <v>163</v>
      </c>
      <c r="C103" s="11" t="s">
        <v>142</v>
      </c>
      <c r="D103" s="12">
        <v>1365</v>
      </c>
      <c r="E103" s="12">
        <v>850</v>
      </c>
      <c r="F103" s="12">
        <f>N(E103)*(1+설정!$B$3)</f>
        <v>960.49999999999989</v>
      </c>
      <c r="G103" s="12">
        <f t="shared" si="21"/>
        <v>404.50000000000011</v>
      </c>
      <c r="H103" s="13">
        <f t="shared" si="22"/>
        <v>0.29633699633699639</v>
      </c>
      <c r="I103" s="12">
        <v>1</v>
      </c>
      <c r="J103" s="12"/>
      <c r="K103" s="12">
        <f t="shared" si="23"/>
        <v>1</v>
      </c>
      <c r="L103" s="12"/>
      <c r="M103" s="12">
        <v>16</v>
      </c>
      <c r="N103" s="12">
        <v>8</v>
      </c>
      <c r="O103" s="12">
        <f t="shared" si="24"/>
        <v>12</v>
      </c>
      <c r="P103" s="12">
        <f>ROUND(O103*설정!$B$5,0)</f>
        <v>14</v>
      </c>
      <c r="Q103" s="12">
        <f t="shared" si="25"/>
        <v>13</v>
      </c>
      <c r="R103" s="10" t="str">
        <f t="shared" si="26"/>
        <v>⚠ 부족</v>
      </c>
      <c r="S103" s="12">
        <f t="shared" si="27"/>
        <v>2.5</v>
      </c>
      <c r="T103" s="12">
        <f>MAX(0,ROUND(N(P103)*설정!$B$4-N(K103),0))</f>
        <v>27</v>
      </c>
      <c r="U103" s="12"/>
      <c r="V103" s="34"/>
      <c r="W103" s="26"/>
    </row>
    <row r="104" spans="1:23" ht="20.100000000000001" customHeight="1" x14ac:dyDescent="0.4">
      <c r="A104" s="9" t="s">
        <v>39</v>
      </c>
      <c r="B104" s="25" t="s">
        <v>163</v>
      </c>
      <c r="C104" s="11" t="s">
        <v>144</v>
      </c>
      <c r="D104" s="12">
        <v>5189</v>
      </c>
      <c r="E104" s="12">
        <v>2350</v>
      </c>
      <c r="F104" s="12">
        <f>N(E104)*(1+설정!$B$3)</f>
        <v>2655.4999999999995</v>
      </c>
      <c r="G104" s="12">
        <f t="shared" si="21"/>
        <v>2533.5000000000005</v>
      </c>
      <c r="H104" s="13">
        <f t="shared" si="22"/>
        <v>0.48824436307573721</v>
      </c>
      <c r="I104" s="12">
        <v>283</v>
      </c>
      <c r="J104" s="12"/>
      <c r="K104" s="12">
        <f t="shared" si="23"/>
        <v>283</v>
      </c>
      <c r="L104" s="12"/>
      <c r="M104" s="12"/>
      <c r="N104" s="12"/>
      <c r="O104" s="12">
        <f t="shared" si="24"/>
        <v>0</v>
      </c>
      <c r="P104" s="12">
        <f>ROUND(O104*설정!$B$5,0)</f>
        <v>0</v>
      </c>
      <c r="Q104" s="12">
        <f t="shared" si="25"/>
        <v>0</v>
      </c>
      <c r="R104" s="10" t="str">
        <f t="shared" si="26"/>
        <v>OK</v>
      </c>
      <c r="S104" s="12" t="str">
        <f t="shared" si="27"/>
        <v>-</v>
      </c>
      <c r="T104" s="12">
        <f>MAX(0,ROUND(N(P104)*설정!$B$4-N(K104),0))</f>
        <v>0</v>
      </c>
      <c r="U104" s="12"/>
      <c r="V104" s="34"/>
      <c r="W104" s="26"/>
    </row>
    <row r="105" spans="1:23" ht="20.100000000000001" customHeight="1" x14ac:dyDescent="0.4">
      <c r="A105" s="9" t="s">
        <v>39</v>
      </c>
      <c r="B105" s="25" t="s">
        <v>163</v>
      </c>
      <c r="C105" s="11" t="s">
        <v>145</v>
      </c>
      <c r="D105" s="12">
        <v>8125</v>
      </c>
      <c r="E105" s="12">
        <v>4650</v>
      </c>
      <c r="F105" s="12">
        <f>N(E105)*(1+설정!$B$3)</f>
        <v>5254.4999999999991</v>
      </c>
      <c r="G105" s="12">
        <f t="shared" si="21"/>
        <v>2870.5000000000009</v>
      </c>
      <c r="H105" s="13">
        <f t="shared" si="22"/>
        <v>0.35329230769230779</v>
      </c>
      <c r="I105" s="12">
        <v>220</v>
      </c>
      <c r="J105" s="12"/>
      <c r="K105" s="12">
        <f t="shared" si="23"/>
        <v>220</v>
      </c>
      <c r="L105" s="12"/>
      <c r="M105" s="12"/>
      <c r="N105" s="12"/>
      <c r="O105" s="12">
        <f t="shared" si="24"/>
        <v>0</v>
      </c>
      <c r="P105" s="12">
        <f>ROUND(O105*설정!$B$5,0)</f>
        <v>0</v>
      </c>
      <c r="Q105" s="12">
        <f t="shared" si="25"/>
        <v>0</v>
      </c>
      <c r="R105" s="10" t="str">
        <f t="shared" si="26"/>
        <v>OK</v>
      </c>
      <c r="S105" s="12" t="str">
        <f t="shared" si="27"/>
        <v>-</v>
      </c>
      <c r="T105" s="12">
        <f>MAX(0,ROUND(N(P105)*설정!$B$4-N(K105),0))</f>
        <v>0</v>
      </c>
      <c r="U105" s="12"/>
      <c r="V105" s="34"/>
      <c r="W105" s="26"/>
    </row>
    <row r="106" spans="1:23" ht="20.100000000000001" customHeight="1" x14ac:dyDescent="0.4">
      <c r="A106" s="9" t="s">
        <v>39</v>
      </c>
      <c r="B106" s="25" t="s">
        <v>163</v>
      </c>
      <c r="C106" s="11" t="s">
        <v>146</v>
      </c>
      <c r="D106" s="12">
        <v>1278</v>
      </c>
      <c r="E106" s="12">
        <v>750</v>
      </c>
      <c r="F106" s="12">
        <f>N(E106)*(1+설정!$B$3)</f>
        <v>847.49999999999989</v>
      </c>
      <c r="G106" s="12">
        <f t="shared" si="21"/>
        <v>430.50000000000011</v>
      </c>
      <c r="H106" s="13">
        <f t="shared" si="22"/>
        <v>0.3368544600938968</v>
      </c>
      <c r="I106" s="12">
        <v>1830</v>
      </c>
      <c r="J106" s="12"/>
      <c r="K106" s="12">
        <f t="shared" si="23"/>
        <v>1830</v>
      </c>
      <c r="L106" s="12">
        <v>12</v>
      </c>
      <c r="M106" s="12">
        <v>4</v>
      </c>
      <c r="N106" s="12">
        <v>24</v>
      </c>
      <c r="O106" s="12">
        <f t="shared" si="24"/>
        <v>13.333333333333334</v>
      </c>
      <c r="P106" s="12">
        <f>ROUND(O106*설정!$B$5,0)</f>
        <v>16</v>
      </c>
      <c r="Q106" s="12">
        <f t="shared" si="25"/>
        <v>0</v>
      </c>
      <c r="R106" s="10" t="str">
        <f t="shared" si="26"/>
        <v>OK</v>
      </c>
      <c r="S106" s="12">
        <f t="shared" si="27"/>
        <v>4117.5</v>
      </c>
      <c r="T106" s="12">
        <f>MAX(0,ROUND(N(P106)*설정!$B$4-N(K106),0))</f>
        <v>0</v>
      </c>
      <c r="U106" s="12"/>
      <c r="V106" s="34"/>
      <c r="W106" s="26"/>
    </row>
    <row r="107" spans="1:23" ht="20.100000000000001" customHeight="1" thickBot="1" x14ac:dyDescent="0.45">
      <c r="A107" s="9" t="s">
        <v>39</v>
      </c>
      <c r="B107" s="27" t="s">
        <v>163</v>
      </c>
      <c r="C107" s="28" t="s">
        <v>147</v>
      </c>
      <c r="D107" s="29">
        <v>10985</v>
      </c>
      <c r="E107" s="29">
        <v>6100</v>
      </c>
      <c r="F107" s="29">
        <f>N(E107)*(1+설정!$B$3)</f>
        <v>6892.9999999999991</v>
      </c>
      <c r="G107" s="29">
        <f t="shared" si="21"/>
        <v>4092.0000000000009</v>
      </c>
      <c r="H107" s="30">
        <f t="shared" si="22"/>
        <v>0.3725079654073738</v>
      </c>
      <c r="I107" s="29">
        <v>4</v>
      </c>
      <c r="J107" s="29"/>
      <c r="K107" s="29">
        <f t="shared" si="23"/>
        <v>4</v>
      </c>
      <c r="L107" s="29"/>
      <c r="M107" s="29"/>
      <c r="N107" s="29">
        <v>6</v>
      </c>
      <c r="O107" s="29">
        <f t="shared" si="24"/>
        <v>6</v>
      </c>
      <c r="P107" s="29">
        <f>ROUND(O107*설정!$B$5,0)</f>
        <v>7</v>
      </c>
      <c r="Q107" s="29">
        <f t="shared" si="25"/>
        <v>3</v>
      </c>
      <c r="R107" s="31" t="str">
        <f t="shared" si="26"/>
        <v>⚠ 부족</v>
      </c>
      <c r="S107" s="29">
        <f t="shared" si="27"/>
        <v>20</v>
      </c>
      <c r="T107" s="29">
        <f>MAX(0,ROUND(N(P107)*설정!$B$4-N(K107),0))</f>
        <v>10</v>
      </c>
      <c r="U107" s="29"/>
      <c r="V107" s="35"/>
      <c r="W107" s="32"/>
    </row>
    <row r="108" spans="1:23" ht="20.100000000000001" customHeight="1" x14ac:dyDescent="0.4">
      <c r="A108" s="9" t="s">
        <v>39</v>
      </c>
      <c r="B108" s="15" t="s">
        <v>164</v>
      </c>
      <c r="C108" s="16" t="s">
        <v>59</v>
      </c>
      <c r="D108" s="17">
        <v>2340</v>
      </c>
      <c r="E108" s="17">
        <v>1950</v>
      </c>
      <c r="F108" s="17">
        <f>N(E108)*(1+설정!$B$3)</f>
        <v>2203.5</v>
      </c>
      <c r="G108" s="17">
        <f t="shared" si="21"/>
        <v>136.5</v>
      </c>
      <c r="H108" s="18">
        <f t="shared" si="22"/>
        <v>5.8333333333333334E-2</v>
      </c>
      <c r="I108" s="17">
        <v>885</v>
      </c>
      <c r="J108" s="17"/>
      <c r="K108" s="17">
        <f t="shared" si="23"/>
        <v>885</v>
      </c>
      <c r="L108" s="17">
        <v>148</v>
      </c>
      <c r="M108" s="17">
        <v>238</v>
      </c>
      <c r="N108" s="17">
        <v>146</v>
      </c>
      <c r="O108" s="17">
        <f t="shared" si="24"/>
        <v>177.33333333333334</v>
      </c>
      <c r="P108" s="17">
        <f>ROUND(O108*설정!$B$5,0)</f>
        <v>213</v>
      </c>
      <c r="Q108" s="17">
        <f t="shared" si="25"/>
        <v>0</v>
      </c>
      <c r="R108" s="15" t="str">
        <f t="shared" si="26"/>
        <v>OK</v>
      </c>
      <c r="S108" s="17">
        <f t="shared" si="27"/>
        <v>149.71804511278194</v>
      </c>
      <c r="T108" s="17">
        <f>MAX(0,ROUND(N(P108)*설정!$B$4-N(K108),0))</f>
        <v>0</v>
      </c>
      <c r="U108" s="17"/>
      <c r="V108" s="17"/>
      <c r="W108" s="16"/>
    </row>
    <row r="109" spans="1:23" ht="20.100000000000001" customHeight="1" x14ac:dyDescent="0.4">
      <c r="A109" s="9" t="s">
        <v>39</v>
      </c>
      <c r="B109" s="10" t="s">
        <v>164</v>
      </c>
      <c r="C109" s="11" t="s">
        <v>74</v>
      </c>
      <c r="D109" s="12">
        <v>1950</v>
      </c>
      <c r="E109" s="12">
        <v>600</v>
      </c>
      <c r="F109" s="12">
        <f>N(E109)*(1+설정!$B$3)</f>
        <v>677.99999999999989</v>
      </c>
      <c r="G109" s="12">
        <f t="shared" si="21"/>
        <v>1272</v>
      </c>
      <c r="H109" s="13">
        <f t="shared" si="22"/>
        <v>0.65230769230769226</v>
      </c>
      <c r="I109" s="12">
        <v>1070</v>
      </c>
      <c r="J109" s="12"/>
      <c r="K109" s="12">
        <f t="shared" si="23"/>
        <v>1070</v>
      </c>
      <c r="L109" s="12">
        <v>104</v>
      </c>
      <c r="M109" s="12">
        <v>92</v>
      </c>
      <c r="N109" s="12">
        <v>36</v>
      </c>
      <c r="O109" s="12">
        <f t="shared" si="24"/>
        <v>77.333333333333329</v>
      </c>
      <c r="P109" s="12">
        <f>ROUND(O109*설정!$B$5,0)</f>
        <v>93</v>
      </c>
      <c r="Q109" s="12">
        <f t="shared" si="25"/>
        <v>0</v>
      </c>
      <c r="R109" s="10" t="str">
        <f t="shared" si="26"/>
        <v>OK</v>
      </c>
      <c r="S109" s="12">
        <f t="shared" si="27"/>
        <v>415.08620689655174</v>
      </c>
      <c r="T109" s="12">
        <f>MAX(0,ROUND(N(P109)*설정!$B$4-N(K109),0))</f>
        <v>0</v>
      </c>
      <c r="U109" s="12"/>
      <c r="V109" s="12"/>
      <c r="W109" s="11"/>
    </row>
    <row r="110" spans="1:23" ht="20.100000000000001" customHeight="1" x14ac:dyDescent="0.4">
      <c r="A110" s="9" t="s">
        <v>39</v>
      </c>
      <c r="B110" s="10" t="s">
        <v>164</v>
      </c>
      <c r="C110" s="11" t="s">
        <v>84</v>
      </c>
      <c r="D110" s="12">
        <v>344</v>
      </c>
      <c r="E110" s="12">
        <v>290</v>
      </c>
      <c r="F110" s="12">
        <f>N(E110)*(1+설정!$B$3)</f>
        <v>327.7</v>
      </c>
      <c r="G110" s="12">
        <f t="shared" si="21"/>
        <v>16.300000000000011</v>
      </c>
      <c r="H110" s="13">
        <f t="shared" si="22"/>
        <v>4.738372093023259E-2</v>
      </c>
      <c r="I110" s="12">
        <v>2833</v>
      </c>
      <c r="J110" s="12"/>
      <c r="K110" s="12">
        <f t="shared" si="23"/>
        <v>2833</v>
      </c>
      <c r="L110" s="12">
        <v>216</v>
      </c>
      <c r="M110" s="12">
        <v>96</v>
      </c>
      <c r="N110" s="12">
        <v>336</v>
      </c>
      <c r="O110" s="12">
        <f t="shared" si="24"/>
        <v>216</v>
      </c>
      <c r="P110" s="12">
        <f>ROUND(O110*설정!$B$5,0)</f>
        <v>259</v>
      </c>
      <c r="Q110" s="12">
        <f t="shared" si="25"/>
        <v>0</v>
      </c>
      <c r="R110" s="10" t="str">
        <f t="shared" si="26"/>
        <v>OK</v>
      </c>
      <c r="S110" s="12">
        <f t="shared" si="27"/>
        <v>393.47222222222223</v>
      </c>
      <c r="T110" s="12">
        <f>MAX(0,ROUND(N(P110)*설정!$B$4-N(K110),0))</f>
        <v>0</v>
      </c>
      <c r="U110" s="12"/>
      <c r="V110" s="12"/>
      <c r="W110" s="11"/>
    </row>
    <row r="111" spans="1:23" ht="20.100000000000001" customHeight="1" x14ac:dyDescent="0.4">
      <c r="A111" s="9" t="s">
        <v>39</v>
      </c>
      <c r="B111" s="10" t="s">
        <v>164</v>
      </c>
      <c r="C111" s="11" t="s">
        <v>85</v>
      </c>
      <c r="D111" s="12">
        <v>82000</v>
      </c>
      <c r="E111" s="12">
        <v>69800</v>
      </c>
      <c r="F111" s="12">
        <f>N(E111)*(1+설정!$B$3)</f>
        <v>78873.999999999985</v>
      </c>
      <c r="G111" s="12">
        <f t="shared" si="21"/>
        <v>3126.0000000000146</v>
      </c>
      <c r="H111" s="13">
        <f t="shared" si="22"/>
        <v>3.8121951219512375E-2</v>
      </c>
      <c r="I111" s="12">
        <v>38</v>
      </c>
      <c r="J111" s="12"/>
      <c r="K111" s="12">
        <f t="shared" si="23"/>
        <v>38</v>
      </c>
      <c r="L111" s="12">
        <v>6</v>
      </c>
      <c r="M111" s="12">
        <v>8</v>
      </c>
      <c r="N111" s="12"/>
      <c r="O111" s="12">
        <f t="shared" si="24"/>
        <v>7</v>
      </c>
      <c r="P111" s="12">
        <f>ROUND(O111*설정!$B$5,0)</f>
        <v>8</v>
      </c>
      <c r="Q111" s="12">
        <f t="shared" si="25"/>
        <v>0</v>
      </c>
      <c r="R111" s="10" t="str">
        <f t="shared" si="26"/>
        <v>OK</v>
      </c>
      <c r="S111" s="12">
        <f t="shared" si="27"/>
        <v>162.85714285714286</v>
      </c>
      <c r="T111" s="12">
        <f>MAX(0,ROUND(N(P111)*설정!$B$4-N(K111),0))</f>
        <v>0</v>
      </c>
      <c r="U111" s="12"/>
      <c r="V111" s="12"/>
      <c r="W111" s="11"/>
    </row>
    <row r="112" spans="1:23" ht="20.100000000000001" customHeight="1" x14ac:dyDescent="0.4">
      <c r="A112" s="9" t="s">
        <v>39</v>
      </c>
      <c r="B112" s="10" t="s">
        <v>164</v>
      </c>
      <c r="C112" s="11" t="s">
        <v>86</v>
      </c>
      <c r="D112" s="12">
        <v>858</v>
      </c>
      <c r="E112" s="12">
        <v>690</v>
      </c>
      <c r="F112" s="12">
        <f>N(E112)*(1+설정!$B$3)</f>
        <v>779.69999999999993</v>
      </c>
      <c r="G112" s="12">
        <f t="shared" si="21"/>
        <v>78.300000000000068</v>
      </c>
      <c r="H112" s="13">
        <f t="shared" si="22"/>
        <v>9.1258741258741338E-2</v>
      </c>
      <c r="I112" s="12">
        <v>1823</v>
      </c>
      <c r="J112" s="12"/>
      <c r="K112" s="12">
        <f t="shared" si="23"/>
        <v>1823</v>
      </c>
      <c r="L112" s="12"/>
      <c r="M112" s="12"/>
      <c r="N112" s="12"/>
      <c r="O112" s="12">
        <f t="shared" si="24"/>
        <v>0</v>
      </c>
      <c r="P112" s="12">
        <f>ROUND(O112*설정!$B$5,0)</f>
        <v>0</v>
      </c>
      <c r="Q112" s="12">
        <f t="shared" si="25"/>
        <v>0</v>
      </c>
      <c r="R112" s="10" t="str">
        <f t="shared" si="26"/>
        <v>OK</v>
      </c>
      <c r="S112" s="12" t="str">
        <f t="shared" si="27"/>
        <v>-</v>
      </c>
      <c r="T112" s="12">
        <f>MAX(0,ROUND(N(P112)*설정!$B$4-N(K112),0))</f>
        <v>0</v>
      </c>
      <c r="U112" s="12"/>
      <c r="V112" s="12"/>
      <c r="W112" s="11"/>
    </row>
    <row r="113" spans="1:23" ht="20.100000000000001" customHeight="1" x14ac:dyDescent="0.4">
      <c r="A113" s="9" t="s">
        <v>39</v>
      </c>
      <c r="B113" s="10" t="s">
        <v>164</v>
      </c>
      <c r="C113" s="11" t="s">
        <v>87</v>
      </c>
      <c r="D113" s="12">
        <v>770</v>
      </c>
      <c r="E113" s="12">
        <v>610</v>
      </c>
      <c r="F113" s="12">
        <f>N(E113)*(1+설정!$B$3)</f>
        <v>689.3</v>
      </c>
      <c r="G113" s="12">
        <f t="shared" si="21"/>
        <v>80.700000000000045</v>
      </c>
      <c r="H113" s="13">
        <f t="shared" si="22"/>
        <v>0.10480519480519486</v>
      </c>
      <c r="I113" s="12">
        <v>2</v>
      </c>
      <c r="J113" s="12">
        <v>2880</v>
      </c>
      <c r="K113" s="12">
        <f t="shared" si="23"/>
        <v>2882</v>
      </c>
      <c r="L113" s="12">
        <v>180</v>
      </c>
      <c r="M113" s="12"/>
      <c r="N113" s="12"/>
      <c r="O113" s="12">
        <f t="shared" si="24"/>
        <v>180</v>
      </c>
      <c r="P113" s="12">
        <f>ROUND(O113*설정!$B$5,0)</f>
        <v>216</v>
      </c>
      <c r="Q113" s="12">
        <f t="shared" si="25"/>
        <v>0</v>
      </c>
      <c r="R113" s="10" t="str">
        <f t="shared" si="26"/>
        <v>OK</v>
      </c>
      <c r="S113" s="12">
        <f t="shared" si="27"/>
        <v>480.33333333333331</v>
      </c>
      <c r="T113" s="12">
        <f>MAX(0,ROUND(N(P113)*설정!$B$4-N(K113),0))</f>
        <v>0</v>
      </c>
      <c r="U113" s="12"/>
      <c r="V113" s="12"/>
      <c r="W113" s="11"/>
    </row>
    <row r="114" spans="1:23" ht="20.100000000000001" customHeight="1" x14ac:dyDescent="0.4">
      <c r="A114" s="9" t="s">
        <v>39</v>
      </c>
      <c r="B114" s="10" t="s">
        <v>164</v>
      </c>
      <c r="C114" s="11" t="s">
        <v>90</v>
      </c>
      <c r="D114" s="12">
        <v>885</v>
      </c>
      <c r="E114" s="12">
        <v>720</v>
      </c>
      <c r="F114" s="12">
        <f>N(E114)*(1+설정!$B$3)</f>
        <v>813.59999999999991</v>
      </c>
      <c r="G114" s="12">
        <f t="shared" si="21"/>
        <v>71.400000000000091</v>
      </c>
      <c r="H114" s="13">
        <f t="shared" si="22"/>
        <v>8.0677966101695017E-2</v>
      </c>
      <c r="I114" s="12">
        <v>332</v>
      </c>
      <c r="J114" s="12"/>
      <c r="K114" s="12">
        <f t="shared" si="23"/>
        <v>332</v>
      </c>
      <c r="L114" s="12"/>
      <c r="M114" s="12"/>
      <c r="N114" s="12"/>
      <c r="O114" s="12">
        <f t="shared" si="24"/>
        <v>0</v>
      </c>
      <c r="P114" s="12">
        <f>ROUND(O114*설정!$B$5,0)</f>
        <v>0</v>
      </c>
      <c r="Q114" s="12">
        <f t="shared" si="25"/>
        <v>0</v>
      </c>
      <c r="R114" s="10" t="str">
        <f t="shared" si="26"/>
        <v>OK</v>
      </c>
      <c r="S114" s="12" t="str">
        <f t="shared" si="27"/>
        <v>-</v>
      </c>
      <c r="T114" s="12">
        <f>MAX(0,ROUND(N(P114)*설정!$B$4-N(K114),0))</f>
        <v>0</v>
      </c>
      <c r="U114" s="12">
        <v>12</v>
      </c>
      <c r="V114" s="12"/>
      <c r="W114" s="11"/>
    </row>
    <row r="115" spans="1:23" ht="20.100000000000001" customHeight="1" x14ac:dyDescent="0.4">
      <c r="A115" s="9" t="s">
        <v>39</v>
      </c>
      <c r="B115" s="10" t="s">
        <v>164</v>
      </c>
      <c r="C115" s="11" t="s">
        <v>91</v>
      </c>
      <c r="D115" s="12">
        <v>416</v>
      </c>
      <c r="E115" s="12">
        <v>320</v>
      </c>
      <c r="F115" s="12">
        <f>N(E115)*(1+설정!$B$3)</f>
        <v>361.59999999999997</v>
      </c>
      <c r="G115" s="12">
        <f t="shared" si="21"/>
        <v>54.400000000000034</v>
      </c>
      <c r="H115" s="13">
        <f t="shared" si="22"/>
        <v>0.13076923076923086</v>
      </c>
      <c r="I115" s="12">
        <v>432</v>
      </c>
      <c r="J115" s="12"/>
      <c r="K115" s="12">
        <f t="shared" si="23"/>
        <v>432</v>
      </c>
      <c r="L115" s="12"/>
      <c r="M115" s="12"/>
      <c r="N115" s="12"/>
      <c r="O115" s="12">
        <f t="shared" si="24"/>
        <v>0</v>
      </c>
      <c r="P115" s="12">
        <f>ROUND(O115*설정!$B$5,0)</f>
        <v>0</v>
      </c>
      <c r="Q115" s="12">
        <f t="shared" si="25"/>
        <v>0</v>
      </c>
      <c r="R115" s="10" t="str">
        <f t="shared" si="26"/>
        <v>OK</v>
      </c>
      <c r="S115" s="12" t="str">
        <f t="shared" si="27"/>
        <v>-</v>
      </c>
      <c r="T115" s="12">
        <f>MAX(0,ROUND(N(P115)*설정!$B$4-N(K115),0))</f>
        <v>0</v>
      </c>
      <c r="U115" s="12"/>
      <c r="V115" s="12"/>
      <c r="W115" s="11"/>
    </row>
    <row r="116" spans="1:23" ht="20.100000000000001" customHeight="1" x14ac:dyDescent="0.4">
      <c r="A116" s="9" t="s">
        <v>39</v>
      </c>
      <c r="B116" s="10" t="s">
        <v>164</v>
      </c>
      <c r="C116" s="11" t="s">
        <v>95</v>
      </c>
      <c r="D116" s="12">
        <v>3850</v>
      </c>
      <c r="E116" s="12">
        <v>2980</v>
      </c>
      <c r="F116" s="12">
        <f>N(E116)*(1+설정!$B$3)</f>
        <v>3367.3999999999996</v>
      </c>
      <c r="G116" s="12">
        <f t="shared" si="21"/>
        <v>482.60000000000036</v>
      </c>
      <c r="H116" s="13">
        <f t="shared" si="22"/>
        <v>0.12535064935064943</v>
      </c>
      <c r="I116" s="12">
        <v>1438</v>
      </c>
      <c r="J116" s="12"/>
      <c r="K116" s="12">
        <f t="shared" si="23"/>
        <v>1438</v>
      </c>
      <c r="L116" s="12">
        <v>2</v>
      </c>
      <c r="M116" s="12">
        <v>1</v>
      </c>
      <c r="N116" s="12"/>
      <c r="O116" s="12">
        <f t="shared" si="24"/>
        <v>1.5</v>
      </c>
      <c r="P116" s="12">
        <f>ROUND(O116*설정!$B$5,0)</f>
        <v>2</v>
      </c>
      <c r="Q116" s="12">
        <f t="shared" si="25"/>
        <v>0</v>
      </c>
      <c r="R116" s="10" t="str">
        <f t="shared" si="26"/>
        <v>OK</v>
      </c>
      <c r="S116" s="12">
        <f t="shared" si="27"/>
        <v>28760</v>
      </c>
      <c r="T116" s="12">
        <f>MAX(0,ROUND(N(P116)*설정!$B$4-N(K116),0))</f>
        <v>0</v>
      </c>
      <c r="U116" s="12">
        <v>28</v>
      </c>
      <c r="V116" s="12"/>
      <c r="W116" s="11"/>
    </row>
    <row r="117" spans="1:23" ht="20.100000000000001" customHeight="1" x14ac:dyDescent="0.4">
      <c r="A117" s="9" t="s">
        <v>39</v>
      </c>
      <c r="B117" s="10" t="s">
        <v>164</v>
      </c>
      <c r="C117" s="11" t="s">
        <v>106</v>
      </c>
      <c r="D117" s="12">
        <v>1950</v>
      </c>
      <c r="E117" s="12">
        <v>1135</v>
      </c>
      <c r="F117" s="12">
        <f>N(E117)*(1+설정!$B$3)</f>
        <v>1282.55</v>
      </c>
      <c r="G117" s="12">
        <f t="shared" si="21"/>
        <v>667.45</v>
      </c>
      <c r="H117" s="13">
        <f t="shared" si="22"/>
        <v>0.3422820512820513</v>
      </c>
      <c r="I117" s="12">
        <v>4996</v>
      </c>
      <c r="J117" s="12"/>
      <c r="K117" s="12">
        <f t="shared" si="23"/>
        <v>4996</v>
      </c>
      <c r="L117" s="12">
        <v>48</v>
      </c>
      <c r="M117" s="12">
        <v>111</v>
      </c>
      <c r="N117" s="12">
        <v>126</v>
      </c>
      <c r="O117" s="12">
        <f t="shared" si="24"/>
        <v>95</v>
      </c>
      <c r="P117" s="12">
        <f>ROUND(O117*설정!$B$5,0)</f>
        <v>114</v>
      </c>
      <c r="Q117" s="12">
        <f t="shared" si="25"/>
        <v>0</v>
      </c>
      <c r="R117" s="10" t="str">
        <f t="shared" si="26"/>
        <v>OK</v>
      </c>
      <c r="S117" s="12">
        <f t="shared" si="27"/>
        <v>1577.6842105263158</v>
      </c>
      <c r="T117" s="12">
        <f>MAX(0,ROUND(N(P117)*설정!$B$4-N(K117),0))</f>
        <v>0</v>
      </c>
      <c r="U117" s="12"/>
      <c r="V117" s="12"/>
      <c r="W117" s="11"/>
    </row>
    <row r="118" spans="1:23" ht="20.100000000000001" customHeight="1" x14ac:dyDescent="0.4">
      <c r="A118" s="9" t="s">
        <v>39</v>
      </c>
      <c r="B118" s="10" t="s">
        <v>164</v>
      </c>
      <c r="C118" s="11" t="s">
        <v>170</v>
      </c>
      <c r="D118" s="12">
        <v>700</v>
      </c>
      <c r="E118" s="12">
        <v>480</v>
      </c>
      <c r="F118" s="12">
        <f>N(E118)*(1+설정!$B$3)</f>
        <v>542.4</v>
      </c>
      <c r="G118" s="12">
        <f t="shared" si="21"/>
        <v>157.60000000000002</v>
      </c>
      <c r="H118" s="13">
        <f t="shared" si="22"/>
        <v>0.22514285714285717</v>
      </c>
      <c r="I118" s="12">
        <v>1454</v>
      </c>
      <c r="J118" s="12"/>
      <c r="K118" s="12">
        <f t="shared" si="23"/>
        <v>1454</v>
      </c>
      <c r="L118" s="12"/>
      <c r="M118" s="12"/>
      <c r="N118" s="12"/>
      <c r="O118" s="12">
        <f t="shared" si="24"/>
        <v>0</v>
      </c>
      <c r="P118" s="12">
        <f>ROUND(O118*설정!$B$5,0)</f>
        <v>0</v>
      </c>
      <c r="Q118" s="12">
        <f t="shared" si="25"/>
        <v>0</v>
      </c>
      <c r="R118" s="10" t="str">
        <f t="shared" si="26"/>
        <v>OK</v>
      </c>
      <c r="S118" s="12" t="str">
        <f t="shared" si="27"/>
        <v>-</v>
      </c>
      <c r="T118" s="12">
        <f>MAX(0,ROUND(N(P118)*설정!$B$4-N(K118),0))</f>
        <v>0</v>
      </c>
      <c r="U118" s="12">
        <v>15</v>
      </c>
      <c r="V118" s="12"/>
      <c r="W118" s="11"/>
    </row>
    <row r="119" spans="1:23" ht="20.100000000000001" customHeight="1" x14ac:dyDescent="0.4">
      <c r="A119" s="9" t="s">
        <v>39</v>
      </c>
      <c r="B119" s="10" t="s">
        <v>164</v>
      </c>
      <c r="C119" s="11" t="s">
        <v>174</v>
      </c>
      <c r="D119" s="12">
        <v>3800</v>
      </c>
      <c r="E119" s="12">
        <v>3000</v>
      </c>
      <c r="F119" s="12">
        <f>N(E119)*(1+설정!$B$3)</f>
        <v>3389.9999999999995</v>
      </c>
      <c r="G119" s="12">
        <f t="shared" si="21"/>
        <v>410.00000000000045</v>
      </c>
      <c r="H119" s="13">
        <f t="shared" si="22"/>
        <v>0.10789473684210538</v>
      </c>
      <c r="I119" s="12">
        <v>17</v>
      </c>
      <c r="J119" s="12"/>
      <c r="K119" s="12">
        <f t="shared" si="23"/>
        <v>17</v>
      </c>
      <c r="L119" s="12"/>
      <c r="M119" s="12">
        <v>12</v>
      </c>
      <c r="N119" s="12"/>
      <c r="O119" s="12">
        <f t="shared" si="24"/>
        <v>12</v>
      </c>
      <c r="P119" s="12">
        <f>ROUND(O119*설정!$B$5,0)</f>
        <v>14</v>
      </c>
      <c r="Q119" s="12">
        <f t="shared" si="25"/>
        <v>0</v>
      </c>
      <c r="R119" s="10" t="str">
        <f t="shared" si="26"/>
        <v>OK</v>
      </c>
      <c r="S119" s="12">
        <f t="shared" si="27"/>
        <v>42.5</v>
      </c>
      <c r="T119" s="12">
        <f>MAX(0,ROUND(N(P119)*설정!$B$4-N(K119),0))</f>
        <v>11</v>
      </c>
      <c r="U119" s="12">
        <v>52</v>
      </c>
      <c r="V119" s="12"/>
      <c r="W119" s="11" t="s">
        <v>173</v>
      </c>
    </row>
    <row r="120" spans="1:23" ht="20.100000000000001" customHeight="1" x14ac:dyDescent="0.4">
      <c r="A120" s="9" t="s">
        <v>39</v>
      </c>
      <c r="B120" s="10" t="s">
        <v>164</v>
      </c>
      <c r="C120" s="11" t="s">
        <v>176</v>
      </c>
      <c r="D120" s="12">
        <v>1950</v>
      </c>
      <c r="E120" s="12">
        <v>1100</v>
      </c>
      <c r="F120" s="12">
        <f>N(E120)*(1+설정!$B$3)</f>
        <v>1242.9999999999998</v>
      </c>
      <c r="G120" s="12">
        <f t="shared" si="21"/>
        <v>707.00000000000023</v>
      </c>
      <c r="H120" s="13">
        <f t="shared" si="22"/>
        <v>0.36256410256410271</v>
      </c>
      <c r="I120" s="12">
        <v>4105</v>
      </c>
      <c r="J120" s="12"/>
      <c r="K120" s="12">
        <f t="shared" si="23"/>
        <v>4105</v>
      </c>
      <c r="L120" s="12">
        <v>70</v>
      </c>
      <c r="M120" s="12">
        <v>18</v>
      </c>
      <c r="N120" s="12">
        <v>30</v>
      </c>
      <c r="O120" s="12">
        <f t="shared" si="24"/>
        <v>39.333333333333336</v>
      </c>
      <c r="P120" s="12">
        <f>ROUND(O120*설정!$B$5,0)</f>
        <v>47</v>
      </c>
      <c r="Q120" s="12">
        <f t="shared" si="25"/>
        <v>0</v>
      </c>
      <c r="R120" s="10" t="str">
        <f t="shared" si="26"/>
        <v>OK</v>
      </c>
      <c r="S120" s="12">
        <f t="shared" si="27"/>
        <v>3130.9322033898306</v>
      </c>
      <c r="T120" s="12">
        <f>MAX(0,ROUND(N(P120)*설정!$B$4-N(K120),0))</f>
        <v>0</v>
      </c>
      <c r="U120" s="12">
        <v>5</v>
      </c>
      <c r="V120" s="12"/>
      <c r="W120" s="11" t="s">
        <v>173</v>
      </c>
    </row>
    <row r="121" spans="1:23" ht="20.100000000000001" customHeight="1" x14ac:dyDescent="0.4">
      <c r="A121" s="9" t="s">
        <v>39</v>
      </c>
      <c r="B121" s="10" t="s">
        <v>164</v>
      </c>
      <c r="C121" s="11" t="s">
        <v>138</v>
      </c>
      <c r="D121" s="12">
        <v>490</v>
      </c>
      <c r="E121" s="12">
        <v>320</v>
      </c>
      <c r="F121" s="12">
        <f>N(E121)*(1+설정!$B$3)</f>
        <v>361.59999999999997</v>
      </c>
      <c r="G121" s="12">
        <f t="shared" si="21"/>
        <v>128.40000000000003</v>
      </c>
      <c r="H121" s="13">
        <f t="shared" si="22"/>
        <v>0.2620408163265307</v>
      </c>
      <c r="I121" s="12">
        <v>771</v>
      </c>
      <c r="J121" s="12"/>
      <c r="K121" s="12">
        <f t="shared" si="23"/>
        <v>771</v>
      </c>
      <c r="L121" s="12"/>
      <c r="M121" s="12"/>
      <c r="N121" s="12"/>
      <c r="O121" s="12">
        <f t="shared" si="24"/>
        <v>0</v>
      </c>
      <c r="P121" s="12">
        <f>ROUND(O121*설정!$B$5,0)</f>
        <v>0</v>
      </c>
      <c r="Q121" s="12">
        <f t="shared" si="25"/>
        <v>0</v>
      </c>
      <c r="R121" s="10" t="str">
        <f t="shared" si="26"/>
        <v>OK</v>
      </c>
      <c r="S121" s="12" t="str">
        <f t="shared" si="27"/>
        <v>-</v>
      </c>
      <c r="T121" s="12">
        <f>MAX(0,ROUND(N(P121)*설정!$B$4-N(K121),0))</f>
        <v>0</v>
      </c>
      <c r="U121" s="12"/>
      <c r="V121" s="12"/>
      <c r="W121" s="11"/>
    </row>
    <row r="122" spans="1:23" ht="20.100000000000001" customHeight="1" x14ac:dyDescent="0.4">
      <c r="A122" s="9" t="s">
        <v>39</v>
      </c>
      <c r="B122" s="10" t="s">
        <v>164</v>
      </c>
      <c r="C122" s="11" t="s">
        <v>139</v>
      </c>
      <c r="D122" s="12">
        <v>240</v>
      </c>
      <c r="E122" s="12">
        <v>195</v>
      </c>
      <c r="F122" s="12">
        <f>N(E122)*(1+설정!$B$3)</f>
        <v>220.34999999999997</v>
      </c>
      <c r="G122" s="12">
        <f t="shared" si="21"/>
        <v>19.650000000000034</v>
      </c>
      <c r="H122" s="13">
        <f t="shared" si="22"/>
        <v>8.1875000000000142E-2</v>
      </c>
      <c r="I122" s="12">
        <v>809</v>
      </c>
      <c r="J122" s="12"/>
      <c r="K122" s="12">
        <f t="shared" si="23"/>
        <v>809</v>
      </c>
      <c r="L122" s="12"/>
      <c r="M122" s="12"/>
      <c r="N122" s="12"/>
      <c r="O122" s="12">
        <f t="shared" si="24"/>
        <v>0</v>
      </c>
      <c r="P122" s="12">
        <f>ROUND(O122*설정!$B$5,0)</f>
        <v>0</v>
      </c>
      <c r="Q122" s="12">
        <f t="shared" si="25"/>
        <v>0</v>
      </c>
      <c r="R122" s="10" t="str">
        <f t="shared" si="26"/>
        <v>OK</v>
      </c>
      <c r="S122" s="12" t="str">
        <f t="shared" si="27"/>
        <v>-</v>
      </c>
      <c r="T122" s="12">
        <f>MAX(0,ROUND(N(P122)*설정!$B$4-N(K122),0))</f>
        <v>0</v>
      </c>
      <c r="U122" s="12"/>
      <c r="V122" s="12"/>
      <c r="W122" s="11"/>
    </row>
    <row r="123" spans="1:23" ht="20.100000000000001" customHeight="1" x14ac:dyDescent="0.4">
      <c r="A123" s="9" t="s">
        <v>39</v>
      </c>
      <c r="B123" s="10" t="s">
        <v>73</v>
      </c>
      <c r="C123" s="11" t="s">
        <v>78</v>
      </c>
      <c r="D123" s="12">
        <v>2892</v>
      </c>
      <c r="E123" s="12">
        <v>3010</v>
      </c>
      <c r="F123" s="12">
        <f>N(E123)*(1+설정!$B$3)</f>
        <v>3401.2999999999997</v>
      </c>
      <c r="G123" s="12">
        <f t="shared" si="21"/>
        <v>-509.29999999999973</v>
      </c>
      <c r="H123" s="13">
        <f t="shared" si="22"/>
        <v>-0.17610650069156283</v>
      </c>
      <c r="I123" s="12">
        <v>678</v>
      </c>
      <c r="J123" s="12"/>
      <c r="K123" s="12">
        <f t="shared" si="23"/>
        <v>678</v>
      </c>
      <c r="L123" s="12"/>
      <c r="M123" s="12"/>
      <c r="N123" s="12">
        <v>52</v>
      </c>
      <c r="O123" s="12">
        <f t="shared" si="24"/>
        <v>52</v>
      </c>
      <c r="P123" s="12">
        <f>ROUND(O123*설정!$B$5,0)</f>
        <v>62</v>
      </c>
      <c r="Q123" s="12">
        <f t="shared" si="25"/>
        <v>0</v>
      </c>
      <c r="R123" s="10" t="str">
        <f t="shared" si="26"/>
        <v>OK</v>
      </c>
      <c r="S123" s="12">
        <f t="shared" si="27"/>
        <v>391.15384615384613</v>
      </c>
      <c r="T123" s="12">
        <f>MAX(0,ROUND(N(P123)*설정!$B$4-N(K123),0))</f>
        <v>0</v>
      </c>
      <c r="U123" s="12"/>
      <c r="V123" s="12"/>
      <c r="W123" s="11"/>
    </row>
    <row r="124" spans="1:23" ht="20.100000000000001" customHeight="1" x14ac:dyDescent="0.4">
      <c r="A124" s="9" t="s">
        <v>39</v>
      </c>
      <c r="B124" s="10" t="s">
        <v>73</v>
      </c>
      <c r="C124" s="11" t="s">
        <v>81</v>
      </c>
      <c r="D124" s="12">
        <v>12285</v>
      </c>
      <c r="E124" s="12">
        <v>11100</v>
      </c>
      <c r="F124" s="12">
        <f>N(E124)*(1+설정!$B$3)</f>
        <v>12542.999999999998</v>
      </c>
      <c r="G124" s="12">
        <f t="shared" si="21"/>
        <v>-257.99999999999818</v>
      </c>
      <c r="H124" s="13">
        <f t="shared" si="22"/>
        <v>-2.1001221001220854E-2</v>
      </c>
      <c r="I124" s="12">
        <v>17</v>
      </c>
      <c r="J124" s="12"/>
      <c r="K124" s="12">
        <f t="shared" si="23"/>
        <v>17</v>
      </c>
      <c r="L124" s="12"/>
      <c r="M124" s="12">
        <v>20</v>
      </c>
      <c r="N124" s="12">
        <v>12</v>
      </c>
      <c r="O124" s="12">
        <f t="shared" si="24"/>
        <v>16</v>
      </c>
      <c r="P124" s="12">
        <f>ROUND(O124*설정!$B$5,0)</f>
        <v>19</v>
      </c>
      <c r="Q124" s="12">
        <f t="shared" si="25"/>
        <v>2</v>
      </c>
      <c r="R124" s="10" t="str">
        <f t="shared" si="26"/>
        <v>⚠ 부족</v>
      </c>
      <c r="S124" s="12">
        <f t="shared" si="27"/>
        <v>31.875</v>
      </c>
      <c r="T124" s="12">
        <f>MAX(0,ROUND(N(P124)*설정!$B$4-N(K124),0))</f>
        <v>21</v>
      </c>
      <c r="U124" s="12"/>
      <c r="V124" s="12"/>
      <c r="W124" s="11"/>
    </row>
    <row r="125" spans="1:23" ht="20.100000000000001" customHeight="1" x14ac:dyDescent="0.4">
      <c r="A125" s="9" t="s">
        <v>39</v>
      </c>
      <c r="B125" s="10" t="s">
        <v>73</v>
      </c>
      <c r="C125" s="11" t="s">
        <v>82</v>
      </c>
      <c r="D125" s="12">
        <v>842</v>
      </c>
      <c r="E125" s="12">
        <v>560</v>
      </c>
      <c r="F125" s="12">
        <f>N(E125)*(1+설정!$B$3)</f>
        <v>632.79999999999995</v>
      </c>
      <c r="G125" s="12">
        <f t="shared" si="21"/>
        <v>209.20000000000005</v>
      </c>
      <c r="H125" s="13">
        <f t="shared" si="22"/>
        <v>0.24845605700712595</v>
      </c>
      <c r="I125" s="12">
        <v>14</v>
      </c>
      <c r="J125" s="12"/>
      <c r="K125" s="12">
        <f t="shared" si="23"/>
        <v>14</v>
      </c>
      <c r="L125" s="12"/>
      <c r="M125" s="12"/>
      <c r="N125" s="12"/>
      <c r="O125" s="12">
        <f t="shared" si="24"/>
        <v>0</v>
      </c>
      <c r="P125" s="12">
        <f>ROUND(O125*설정!$B$5,0)</f>
        <v>0</v>
      </c>
      <c r="Q125" s="12">
        <f t="shared" si="25"/>
        <v>0</v>
      </c>
      <c r="R125" s="10" t="str">
        <f t="shared" si="26"/>
        <v>OK</v>
      </c>
      <c r="S125" s="12" t="str">
        <f t="shared" si="27"/>
        <v>-</v>
      </c>
      <c r="T125" s="12">
        <f>MAX(0,ROUND(N(P125)*설정!$B$4-N(K125),0))</f>
        <v>0</v>
      </c>
      <c r="U125" s="12"/>
      <c r="V125" s="12"/>
      <c r="W125" s="11"/>
    </row>
    <row r="126" spans="1:23" ht="20.100000000000001" customHeight="1" x14ac:dyDescent="0.4">
      <c r="A126" s="9" t="s">
        <v>39</v>
      </c>
      <c r="B126" s="10" t="s">
        <v>73</v>
      </c>
      <c r="C126" s="11" t="s">
        <v>89</v>
      </c>
      <c r="D126" s="12">
        <v>3157</v>
      </c>
      <c r="E126" s="12">
        <v>2360</v>
      </c>
      <c r="F126" s="12">
        <f>N(E126)*(1+설정!$B$3)</f>
        <v>2666.7999999999997</v>
      </c>
      <c r="G126" s="12">
        <f t="shared" si="21"/>
        <v>490.20000000000027</v>
      </c>
      <c r="H126" s="13">
        <f t="shared" si="22"/>
        <v>0.15527399429838462</v>
      </c>
      <c r="I126" s="12">
        <v>102</v>
      </c>
      <c r="J126" s="12"/>
      <c r="K126" s="12">
        <f t="shared" si="23"/>
        <v>102</v>
      </c>
      <c r="L126" s="12">
        <v>32</v>
      </c>
      <c r="M126" s="12">
        <v>12</v>
      </c>
      <c r="N126" s="12">
        <v>112</v>
      </c>
      <c r="O126" s="12">
        <f t="shared" si="24"/>
        <v>52</v>
      </c>
      <c r="P126" s="12">
        <f>ROUND(O126*설정!$B$5,0)</f>
        <v>62</v>
      </c>
      <c r="Q126" s="12">
        <f t="shared" si="25"/>
        <v>0</v>
      </c>
      <c r="R126" s="10" t="str">
        <f t="shared" si="26"/>
        <v>OK</v>
      </c>
      <c r="S126" s="12">
        <f t="shared" si="27"/>
        <v>58.846153846153847</v>
      </c>
      <c r="T126" s="12">
        <f>MAX(0,ROUND(N(P126)*설정!$B$4-N(K126),0))</f>
        <v>22</v>
      </c>
      <c r="U126" s="12"/>
      <c r="V126" s="12"/>
      <c r="W126" s="11"/>
    </row>
    <row r="127" spans="1:23" ht="20.100000000000001" customHeight="1" x14ac:dyDescent="0.4">
      <c r="A127" s="9" t="s">
        <v>39</v>
      </c>
      <c r="B127" s="10" t="s">
        <v>73</v>
      </c>
      <c r="C127" s="11" t="s">
        <v>98</v>
      </c>
      <c r="D127" s="12">
        <v>715</v>
      </c>
      <c r="E127" s="12">
        <v>520</v>
      </c>
      <c r="F127" s="12">
        <f>N(E127)*(1+설정!$B$3)</f>
        <v>587.59999999999991</v>
      </c>
      <c r="G127" s="12">
        <f t="shared" si="21"/>
        <v>127.40000000000009</v>
      </c>
      <c r="H127" s="13">
        <f t="shared" si="22"/>
        <v>0.1781818181818183</v>
      </c>
      <c r="I127" s="12">
        <v>1856</v>
      </c>
      <c r="J127" s="12"/>
      <c r="K127" s="12">
        <f t="shared" si="23"/>
        <v>1856</v>
      </c>
      <c r="L127" s="12">
        <v>54</v>
      </c>
      <c r="M127" s="12">
        <v>36</v>
      </c>
      <c r="N127" s="12"/>
      <c r="O127" s="12">
        <f t="shared" si="24"/>
        <v>45</v>
      </c>
      <c r="P127" s="12">
        <f>ROUND(O127*설정!$B$5,0)</f>
        <v>54</v>
      </c>
      <c r="Q127" s="12">
        <f t="shared" si="25"/>
        <v>0</v>
      </c>
      <c r="R127" s="10" t="str">
        <f t="shared" si="26"/>
        <v>OK</v>
      </c>
      <c r="S127" s="12">
        <f t="shared" si="27"/>
        <v>1237.3333333333333</v>
      </c>
      <c r="T127" s="12">
        <f>MAX(0,ROUND(N(P127)*설정!$B$4-N(K127),0))</f>
        <v>0</v>
      </c>
      <c r="U127" s="12"/>
      <c r="V127" s="12"/>
      <c r="W127" s="11"/>
    </row>
    <row r="128" spans="1:23" ht="20.100000000000001" customHeight="1" x14ac:dyDescent="0.4">
      <c r="A128" s="9" t="s">
        <v>39</v>
      </c>
      <c r="B128" s="10" t="s">
        <v>73</v>
      </c>
      <c r="C128" s="11" t="s">
        <v>168</v>
      </c>
      <c r="D128" s="12">
        <v>2567</v>
      </c>
      <c r="E128" s="12">
        <v>1450</v>
      </c>
      <c r="F128" s="12">
        <f>N(E128)*(1+설정!$B$3)</f>
        <v>1638.4999999999998</v>
      </c>
      <c r="G128" s="12">
        <f t="shared" si="21"/>
        <v>928.50000000000023</v>
      </c>
      <c r="H128" s="13">
        <f t="shared" si="22"/>
        <v>0.36170627191273869</v>
      </c>
      <c r="I128" s="12">
        <v>2187</v>
      </c>
      <c r="J128" s="12"/>
      <c r="K128" s="12">
        <f t="shared" si="23"/>
        <v>2187</v>
      </c>
      <c r="L128" s="12"/>
      <c r="M128" s="12"/>
      <c r="N128" s="12"/>
      <c r="O128" s="12">
        <f t="shared" si="24"/>
        <v>0</v>
      </c>
      <c r="P128" s="12">
        <f>ROUND(O128*설정!$B$5,0)</f>
        <v>0</v>
      </c>
      <c r="Q128" s="12">
        <f t="shared" si="25"/>
        <v>0</v>
      </c>
      <c r="R128" s="10" t="str">
        <f t="shared" si="26"/>
        <v>OK</v>
      </c>
      <c r="S128" s="12" t="str">
        <f t="shared" si="27"/>
        <v>-</v>
      </c>
      <c r="T128" s="12">
        <f>MAX(0,ROUND(N(P128)*설정!$B$4-N(K128),0))</f>
        <v>0</v>
      </c>
      <c r="U128" s="12"/>
      <c r="V128" s="12"/>
      <c r="W128" s="11"/>
    </row>
    <row r="129" spans="1:23" ht="20.100000000000001" customHeight="1" x14ac:dyDescent="0.4">
      <c r="A129" s="9" t="s">
        <v>39</v>
      </c>
      <c r="B129" s="10" t="s">
        <v>73</v>
      </c>
      <c r="C129" s="11" t="s">
        <v>105</v>
      </c>
      <c r="D129" s="12">
        <v>4680</v>
      </c>
      <c r="E129" s="12">
        <v>3850</v>
      </c>
      <c r="F129" s="12">
        <f>N(E129)*(1+설정!$B$3)</f>
        <v>4350.5</v>
      </c>
      <c r="G129" s="12">
        <f t="shared" si="21"/>
        <v>329.5</v>
      </c>
      <c r="H129" s="13">
        <f t="shared" si="22"/>
        <v>7.0405982905982906E-2</v>
      </c>
      <c r="I129" s="12">
        <v>475</v>
      </c>
      <c r="J129" s="12"/>
      <c r="K129" s="12">
        <f t="shared" si="23"/>
        <v>475</v>
      </c>
      <c r="L129" s="12"/>
      <c r="M129" s="12"/>
      <c r="N129" s="12"/>
      <c r="O129" s="12">
        <f t="shared" si="24"/>
        <v>0</v>
      </c>
      <c r="P129" s="12">
        <f>ROUND(O129*설정!$B$5,0)</f>
        <v>0</v>
      </c>
      <c r="Q129" s="12">
        <f t="shared" si="25"/>
        <v>0</v>
      </c>
      <c r="R129" s="10" t="str">
        <f t="shared" si="26"/>
        <v>OK</v>
      </c>
      <c r="S129" s="12" t="str">
        <f t="shared" si="27"/>
        <v>-</v>
      </c>
      <c r="T129" s="12">
        <f>MAX(0,ROUND(N(P129)*설정!$B$4-N(K129),0))</f>
        <v>0</v>
      </c>
      <c r="U129" s="12"/>
      <c r="V129" s="12"/>
      <c r="W129" s="11"/>
    </row>
    <row r="130" spans="1:23" ht="20.100000000000001" customHeight="1" x14ac:dyDescent="0.4">
      <c r="A130" s="9" t="s">
        <v>39</v>
      </c>
      <c r="B130" s="10" t="s">
        <v>73</v>
      </c>
      <c r="C130" s="11" t="s">
        <v>108</v>
      </c>
      <c r="D130" s="12">
        <v>1191</v>
      </c>
      <c r="E130" s="12">
        <v>770</v>
      </c>
      <c r="F130" s="12">
        <f>N(E130)*(1+설정!$B$3)</f>
        <v>870.09999999999991</v>
      </c>
      <c r="G130" s="12">
        <f t="shared" ref="G130:G143" si="28">N(D130)-F130</f>
        <v>320.90000000000009</v>
      </c>
      <c r="H130" s="13">
        <f t="shared" ref="H130:H143" si="29">IF(N(D130)=0,"-",G130/N(D130))</f>
        <v>0.2694374475230899</v>
      </c>
      <c r="I130" s="12">
        <v>1498</v>
      </c>
      <c r="J130" s="12"/>
      <c r="K130" s="12">
        <f t="shared" ref="K130:K143" si="30">N(I130)+N(J130)</f>
        <v>1498</v>
      </c>
      <c r="L130" s="12"/>
      <c r="M130" s="12"/>
      <c r="N130" s="12"/>
      <c r="O130" s="12">
        <f t="shared" ref="O130:O143" si="31">IF(COUNT(L130,M130,N130)=0,0,AVERAGE(L130,M130,N130))</f>
        <v>0</v>
      </c>
      <c r="P130" s="12">
        <f>ROUND(O130*설정!$B$5,0)</f>
        <v>0</v>
      </c>
      <c r="Q130" s="12">
        <f t="shared" ref="Q130:Q143" si="32">MAX(0,N(P130)-N(K130))</f>
        <v>0</v>
      </c>
      <c r="R130" s="10" t="str">
        <f t="shared" ref="R130:R143" si="33">IF(N(K130)&lt;N(P130),"⚠ 부족","OK")</f>
        <v>OK</v>
      </c>
      <c r="S130" s="12" t="str">
        <f t="shared" ref="S130:S143" si="34">IF(O130=0,"-",K130/(O130/30))</f>
        <v>-</v>
      </c>
      <c r="T130" s="12">
        <f>MAX(0,ROUND(N(P130)*설정!$B$4-N(K130),0))</f>
        <v>0</v>
      </c>
      <c r="U130" s="12"/>
      <c r="V130" s="12"/>
      <c r="W130" s="11"/>
    </row>
    <row r="131" spans="1:23" ht="20.100000000000001" customHeight="1" x14ac:dyDescent="0.4">
      <c r="A131" s="9" t="s">
        <v>39</v>
      </c>
      <c r="B131" s="10" t="s">
        <v>73</v>
      </c>
      <c r="C131" s="11" t="s">
        <v>172</v>
      </c>
      <c r="D131" s="12">
        <v>893</v>
      </c>
      <c r="E131" s="12">
        <v>615</v>
      </c>
      <c r="F131" s="12">
        <f>N(E131)*(1+설정!$B$3)</f>
        <v>694.94999999999993</v>
      </c>
      <c r="G131" s="12">
        <f t="shared" si="28"/>
        <v>198.05000000000007</v>
      </c>
      <c r="H131" s="13">
        <f t="shared" si="29"/>
        <v>0.22178051511758126</v>
      </c>
      <c r="I131" s="12">
        <v>259</v>
      </c>
      <c r="J131" s="12"/>
      <c r="K131" s="12">
        <f t="shared" si="30"/>
        <v>259</v>
      </c>
      <c r="L131" s="12">
        <v>84</v>
      </c>
      <c r="M131" s="12"/>
      <c r="N131" s="12"/>
      <c r="O131" s="12">
        <f t="shared" si="31"/>
        <v>84</v>
      </c>
      <c r="P131" s="12">
        <f>ROUND(O131*설정!$B$5,0)</f>
        <v>101</v>
      </c>
      <c r="Q131" s="12">
        <f t="shared" si="32"/>
        <v>0</v>
      </c>
      <c r="R131" s="10" t="str">
        <f t="shared" si="33"/>
        <v>OK</v>
      </c>
      <c r="S131" s="12">
        <f t="shared" si="34"/>
        <v>92.5</v>
      </c>
      <c r="T131" s="12">
        <f>MAX(0,ROUND(N(P131)*설정!$B$4-N(K131),0))</f>
        <v>0</v>
      </c>
      <c r="U131" s="12"/>
      <c r="V131" s="12"/>
      <c r="W131" s="11"/>
    </row>
    <row r="132" spans="1:23" ht="20.100000000000001" customHeight="1" x14ac:dyDescent="0.4">
      <c r="A132" s="9" t="s">
        <v>39</v>
      </c>
      <c r="B132" s="10" t="s">
        <v>73</v>
      </c>
      <c r="C132" s="11" t="s">
        <v>109</v>
      </c>
      <c r="D132" s="12">
        <v>3654</v>
      </c>
      <c r="E132" s="12">
        <v>1550</v>
      </c>
      <c r="F132" s="12">
        <f>N(E132)*(1+설정!$B$3)</f>
        <v>1751.4999999999998</v>
      </c>
      <c r="G132" s="12">
        <f t="shared" si="28"/>
        <v>1902.5000000000002</v>
      </c>
      <c r="H132" s="13">
        <f t="shared" si="29"/>
        <v>0.52066228790366731</v>
      </c>
      <c r="I132" s="12">
        <v>112</v>
      </c>
      <c r="J132" s="12"/>
      <c r="K132" s="12">
        <f t="shared" si="30"/>
        <v>112</v>
      </c>
      <c r="L132" s="12"/>
      <c r="M132" s="12"/>
      <c r="N132" s="12"/>
      <c r="O132" s="12">
        <f t="shared" si="31"/>
        <v>0</v>
      </c>
      <c r="P132" s="12">
        <f>ROUND(O132*설정!$B$5,0)</f>
        <v>0</v>
      </c>
      <c r="Q132" s="12">
        <f t="shared" si="32"/>
        <v>0</v>
      </c>
      <c r="R132" s="10" t="str">
        <f t="shared" si="33"/>
        <v>OK</v>
      </c>
      <c r="S132" s="12" t="str">
        <f t="shared" si="34"/>
        <v>-</v>
      </c>
      <c r="T132" s="12">
        <f>MAX(0,ROUND(N(P132)*설정!$B$4-N(K132),0))</f>
        <v>0</v>
      </c>
      <c r="U132" s="12"/>
      <c r="V132" s="12"/>
      <c r="W132" s="11"/>
    </row>
    <row r="133" spans="1:23" ht="20.100000000000001" customHeight="1" x14ac:dyDescent="0.4">
      <c r="A133" s="9" t="s">
        <v>39</v>
      </c>
      <c r="B133" s="10" t="s">
        <v>73</v>
      </c>
      <c r="C133" s="11" t="s">
        <v>110</v>
      </c>
      <c r="D133" s="12">
        <v>723</v>
      </c>
      <c r="E133" s="12">
        <v>405</v>
      </c>
      <c r="F133" s="12">
        <f>N(E133)*(1+설정!$B$3)</f>
        <v>457.65</v>
      </c>
      <c r="G133" s="12">
        <f t="shared" si="28"/>
        <v>265.35000000000002</v>
      </c>
      <c r="H133" s="13">
        <f t="shared" si="29"/>
        <v>0.36701244813278011</v>
      </c>
      <c r="I133" s="12">
        <v>32</v>
      </c>
      <c r="J133" s="12"/>
      <c r="K133" s="12">
        <f t="shared" si="30"/>
        <v>32</v>
      </c>
      <c r="L133" s="12"/>
      <c r="M133" s="12"/>
      <c r="N133" s="12">
        <v>16</v>
      </c>
      <c r="O133" s="12">
        <f t="shared" si="31"/>
        <v>16</v>
      </c>
      <c r="P133" s="12">
        <f>ROUND(O133*설정!$B$5,0)</f>
        <v>19</v>
      </c>
      <c r="Q133" s="12">
        <f t="shared" si="32"/>
        <v>0</v>
      </c>
      <c r="R133" s="10" t="str">
        <f t="shared" si="33"/>
        <v>OK</v>
      </c>
      <c r="S133" s="12">
        <f t="shared" si="34"/>
        <v>60</v>
      </c>
      <c r="T133" s="12">
        <f>MAX(0,ROUND(N(P133)*설정!$B$4-N(K133),0))</f>
        <v>6</v>
      </c>
      <c r="U133" s="12"/>
      <c r="V133" s="12"/>
      <c r="W133" s="11"/>
    </row>
    <row r="134" spans="1:23" ht="20.100000000000001" customHeight="1" x14ac:dyDescent="0.4">
      <c r="A134" s="9" t="s">
        <v>39</v>
      </c>
      <c r="B134" s="10" t="s">
        <v>73</v>
      </c>
      <c r="C134" s="11" t="s">
        <v>111</v>
      </c>
      <c r="D134" s="12">
        <v>3822</v>
      </c>
      <c r="E134" s="12">
        <v>3300</v>
      </c>
      <c r="F134" s="12">
        <f>N(E134)*(1+설정!$B$3)</f>
        <v>3728.9999999999995</v>
      </c>
      <c r="G134" s="12">
        <f t="shared" si="28"/>
        <v>93.000000000000455</v>
      </c>
      <c r="H134" s="13">
        <f t="shared" si="29"/>
        <v>2.4332810047095879E-2</v>
      </c>
      <c r="I134" s="12">
        <v>21</v>
      </c>
      <c r="J134" s="12"/>
      <c r="K134" s="12">
        <f t="shared" si="30"/>
        <v>21</v>
      </c>
      <c r="L134" s="12"/>
      <c r="M134" s="12"/>
      <c r="N134" s="12"/>
      <c r="O134" s="12">
        <f t="shared" si="31"/>
        <v>0</v>
      </c>
      <c r="P134" s="12">
        <f>ROUND(O134*설정!$B$5,0)</f>
        <v>0</v>
      </c>
      <c r="Q134" s="12">
        <f t="shared" si="32"/>
        <v>0</v>
      </c>
      <c r="R134" s="10" t="str">
        <f t="shared" si="33"/>
        <v>OK</v>
      </c>
      <c r="S134" s="12" t="str">
        <f t="shared" si="34"/>
        <v>-</v>
      </c>
      <c r="T134" s="12">
        <f>MAX(0,ROUND(N(P134)*설정!$B$4-N(K134),0))</f>
        <v>0</v>
      </c>
      <c r="U134" s="12"/>
      <c r="V134" s="12"/>
      <c r="W134" s="11"/>
    </row>
    <row r="135" spans="1:23" ht="20.100000000000001" customHeight="1" x14ac:dyDescent="0.4">
      <c r="A135" s="9" t="s">
        <v>39</v>
      </c>
      <c r="B135" s="10" t="s">
        <v>73</v>
      </c>
      <c r="C135" s="11" t="s">
        <v>112</v>
      </c>
      <c r="D135" s="12">
        <v>1073</v>
      </c>
      <c r="E135" s="12">
        <v>890</v>
      </c>
      <c r="F135" s="12">
        <f>N(E135)*(1+설정!$B$3)</f>
        <v>1005.6999999999999</v>
      </c>
      <c r="G135" s="12">
        <f t="shared" si="28"/>
        <v>67.300000000000068</v>
      </c>
      <c r="H135" s="13">
        <f t="shared" si="29"/>
        <v>6.2721342031686916E-2</v>
      </c>
      <c r="I135" s="12">
        <v>516</v>
      </c>
      <c r="J135" s="12"/>
      <c r="K135" s="12">
        <f t="shared" si="30"/>
        <v>516</v>
      </c>
      <c r="L135" s="12"/>
      <c r="M135" s="12"/>
      <c r="N135" s="12"/>
      <c r="O135" s="12">
        <f t="shared" si="31"/>
        <v>0</v>
      </c>
      <c r="P135" s="12">
        <f>ROUND(O135*설정!$B$5,0)</f>
        <v>0</v>
      </c>
      <c r="Q135" s="12">
        <f t="shared" si="32"/>
        <v>0</v>
      </c>
      <c r="R135" s="10" t="str">
        <f t="shared" si="33"/>
        <v>OK</v>
      </c>
      <c r="S135" s="12" t="str">
        <f t="shared" si="34"/>
        <v>-</v>
      </c>
      <c r="T135" s="12">
        <f>MAX(0,ROUND(N(P135)*설정!$B$4-N(K135),0))</f>
        <v>0</v>
      </c>
      <c r="U135" s="12"/>
      <c r="V135" s="12"/>
      <c r="W135" s="11"/>
    </row>
    <row r="136" spans="1:23" ht="20.100000000000001" customHeight="1" x14ac:dyDescent="0.4">
      <c r="A136" s="9" t="s">
        <v>39</v>
      </c>
      <c r="B136" s="10" t="s">
        <v>73</v>
      </c>
      <c r="C136" s="11" t="s">
        <v>116</v>
      </c>
      <c r="D136" s="12">
        <v>2372</v>
      </c>
      <c r="E136" s="12">
        <v>1350</v>
      </c>
      <c r="F136" s="12">
        <f>N(E136)*(1+설정!$B$3)</f>
        <v>1525.4999999999998</v>
      </c>
      <c r="G136" s="12">
        <f t="shared" si="28"/>
        <v>846.50000000000023</v>
      </c>
      <c r="H136" s="13">
        <f t="shared" si="29"/>
        <v>0.35687183811129858</v>
      </c>
      <c r="I136" s="12">
        <v>1754</v>
      </c>
      <c r="J136" s="12"/>
      <c r="K136" s="12">
        <f t="shared" si="30"/>
        <v>1754</v>
      </c>
      <c r="L136" s="12"/>
      <c r="M136" s="12"/>
      <c r="N136" s="12"/>
      <c r="O136" s="12">
        <f t="shared" si="31"/>
        <v>0</v>
      </c>
      <c r="P136" s="12">
        <f>ROUND(O136*설정!$B$5,0)</f>
        <v>0</v>
      </c>
      <c r="Q136" s="12">
        <f t="shared" si="32"/>
        <v>0</v>
      </c>
      <c r="R136" s="10" t="str">
        <f t="shared" si="33"/>
        <v>OK</v>
      </c>
      <c r="S136" s="12" t="str">
        <f t="shared" si="34"/>
        <v>-</v>
      </c>
      <c r="T136" s="12">
        <f>MAX(0,ROUND(N(P136)*설정!$B$4-N(K136),0))</f>
        <v>0</v>
      </c>
      <c r="U136" s="12"/>
      <c r="V136" s="12"/>
      <c r="W136" s="11"/>
    </row>
    <row r="137" spans="1:23" ht="20.100000000000001" customHeight="1" x14ac:dyDescent="0.4">
      <c r="A137" s="9" t="s">
        <v>39</v>
      </c>
      <c r="B137" s="10" t="s">
        <v>73</v>
      </c>
      <c r="C137" s="11" t="s">
        <v>121</v>
      </c>
      <c r="D137" s="12">
        <v>1625</v>
      </c>
      <c r="E137" s="12">
        <v>770</v>
      </c>
      <c r="F137" s="12">
        <f>N(E137)*(1+설정!$B$3)</f>
        <v>870.09999999999991</v>
      </c>
      <c r="G137" s="12">
        <f t="shared" si="28"/>
        <v>754.90000000000009</v>
      </c>
      <c r="H137" s="13">
        <f t="shared" si="29"/>
        <v>0.46455384615384621</v>
      </c>
      <c r="I137" s="12">
        <v>1591</v>
      </c>
      <c r="J137" s="12"/>
      <c r="K137" s="12">
        <f t="shared" si="30"/>
        <v>1591</v>
      </c>
      <c r="L137" s="12"/>
      <c r="M137" s="12">
        <v>36</v>
      </c>
      <c r="N137" s="12">
        <v>112</v>
      </c>
      <c r="O137" s="12">
        <f t="shared" si="31"/>
        <v>74</v>
      </c>
      <c r="P137" s="12">
        <f>ROUND(O137*설정!$B$5,0)</f>
        <v>89</v>
      </c>
      <c r="Q137" s="12">
        <f t="shared" si="32"/>
        <v>0</v>
      </c>
      <c r="R137" s="10" t="str">
        <f t="shared" si="33"/>
        <v>OK</v>
      </c>
      <c r="S137" s="12">
        <f t="shared" si="34"/>
        <v>645</v>
      </c>
      <c r="T137" s="12">
        <f>MAX(0,ROUND(N(P137)*설정!$B$4-N(K137),0))</f>
        <v>0</v>
      </c>
      <c r="U137" s="12">
        <v>6</v>
      </c>
      <c r="V137" s="12"/>
      <c r="W137" s="11"/>
    </row>
    <row r="138" spans="1:23" ht="20.100000000000001" customHeight="1" x14ac:dyDescent="0.4">
      <c r="A138" s="9" t="s">
        <v>39</v>
      </c>
      <c r="B138" s="10" t="s">
        <v>73</v>
      </c>
      <c r="C138" s="11" t="s">
        <v>122</v>
      </c>
      <c r="D138" s="12">
        <v>1296</v>
      </c>
      <c r="E138" s="12">
        <v>935</v>
      </c>
      <c r="F138" s="12">
        <f>N(E138)*(1+설정!$B$3)</f>
        <v>1056.55</v>
      </c>
      <c r="G138" s="12">
        <f t="shared" si="28"/>
        <v>239.45000000000005</v>
      </c>
      <c r="H138" s="13">
        <f t="shared" si="29"/>
        <v>0.18476080246913584</v>
      </c>
      <c r="I138" s="12">
        <v>1354</v>
      </c>
      <c r="J138" s="12"/>
      <c r="K138" s="12">
        <f t="shared" si="30"/>
        <v>1354</v>
      </c>
      <c r="L138" s="12"/>
      <c r="M138" s="12"/>
      <c r="N138" s="12"/>
      <c r="O138" s="12">
        <f t="shared" si="31"/>
        <v>0</v>
      </c>
      <c r="P138" s="12">
        <f>ROUND(O138*설정!$B$5,0)</f>
        <v>0</v>
      </c>
      <c r="Q138" s="12">
        <f t="shared" si="32"/>
        <v>0</v>
      </c>
      <c r="R138" s="10" t="str">
        <f t="shared" si="33"/>
        <v>OK</v>
      </c>
      <c r="S138" s="12" t="str">
        <f t="shared" si="34"/>
        <v>-</v>
      </c>
      <c r="T138" s="12">
        <f>MAX(0,ROUND(N(P138)*설정!$B$4-N(K138),0))</f>
        <v>0</v>
      </c>
      <c r="U138" s="12">
        <v>4</v>
      </c>
      <c r="V138" s="12"/>
      <c r="W138" s="11"/>
    </row>
    <row r="139" spans="1:23" ht="20.100000000000001" customHeight="1" x14ac:dyDescent="0.4">
      <c r="A139" s="9" t="s">
        <v>39</v>
      </c>
      <c r="B139" s="10" t="s">
        <v>73</v>
      </c>
      <c r="C139" s="11" t="s">
        <v>129</v>
      </c>
      <c r="D139" s="12">
        <v>1221</v>
      </c>
      <c r="E139" s="12">
        <v>630</v>
      </c>
      <c r="F139" s="12">
        <f>N(E139)*(1+설정!$B$3)</f>
        <v>711.9</v>
      </c>
      <c r="G139" s="12">
        <f t="shared" si="28"/>
        <v>509.1</v>
      </c>
      <c r="H139" s="13">
        <f t="shared" si="29"/>
        <v>0.416953316953317</v>
      </c>
      <c r="I139" s="12">
        <v>3277</v>
      </c>
      <c r="J139" s="12"/>
      <c r="K139" s="12">
        <f t="shared" si="30"/>
        <v>3277</v>
      </c>
      <c r="L139" s="12">
        <v>6</v>
      </c>
      <c r="M139" s="12"/>
      <c r="N139" s="12">
        <v>6</v>
      </c>
      <c r="O139" s="12">
        <f t="shared" si="31"/>
        <v>6</v>
      </c>
      <c r="P139" s="12">
        <f>ROUND(O139*설정!$B$5,0)</f>
        <v>7</v>
      </c>
      <c r="Q139" s="12">
        <f t="shared" si="32"/>
        <v>0</v>
      </c>
      <c r="R139" s="10" t="str">
        <f t="shared" si="33"/>
        <v>OK</v>
      </c>
      <c r="S139" s="12">
        <f t="shared" si="34"/>
        <v>16385</v>
      </c>
      <c r="T139" s="12">
        <f>MAX(0,ROUND(N(P139)*설정!$B$4-N(K139),0))</f>
        <v>0</v>
      </c>
      <c r="U139" s="12"/>
      <c r="V139" s="12"/>
      <c r="W139" s="11"/>
    </row>
    <row r="140" spans="1:23" ht="20.100000000000001" customHeight="1" x14ac:dyDescent="0.4">
      <c r="A140" s="9" t="s">
        <v>39</v>
      </c>
      <c r="B140" s="10" t="s">
        <v>73</v>
      </c>
      <c r="C140" s="11" t="s">
        <v>133</v>
      </c>
      <c r="D140" s="12">
        <v>3575</v>
      </c>
      <c r="E140" s="12">
        <v>2450</v>
      </c>
      <c r="F140" s="12">
        <f>N(E140)*(1+설정!$B$3)</f>
        <v>2768.4999999999995</v>
      </c>
      <c r="G140" s="12">
        <f t="shared" si="28"/>
        <v>806.50000000000045</v>
      </c>
      <c r="H140" s="13">
        <f t="shared" si="29"/>
        <v>0.22559440559440572</v>
      </c>
      <c r="I140" s="12">
        <v>524</v>
      </c>
      <c r="J140" s="12"/>
      <c r="K140" s="12">
        <f t="shared" si="30"/>
        <v>524</v>
      </c>
      <c r="L140" s="12">
        <v>4</v>
      </c>
      <c r="M140" s="12">
        <v>1</v>
      </c>
      <c r="N140" s="12"/>
      <c r="O140" s="12">
        <f t="shared" si="31"/>
        <v>2.5</v>
      </c>
      <c r="P140" s="12">
        <f>ROUND(O140*설정!$B$5,0)</f>
        <v>3</v>
      </c>
      <c r="Q140" s="12">
        <f t="shared" si="32"/>
        <v>0</v>
      </c>
      <c r="R140" s="10" t="str">
        <f t="shared" si="33"/>
        <v>OK</v>
      </c>
      <c r="S140" s="12">
        <f t="shared" si="34"/>
        <v>6288</v>
      </c>
      <c r="T140" s="12">
        <f>MAX(0,ROUND(N(P140)*설정!$B$4-N(K140),0))</f>
        <v>0</v>
      </c>
      <c r="U140" s="12"/>
      <c r="V140" s="12"/>
      <c r="W140" s="11"/>
    </row>
    <row r="141" spans="1:23" ht="20.100000000000001" customHeight="1" x14ac:dyDescent="0.4">
      <c r="A141" s="9" t="s">
        <v>39</v>
      </c>
      <c r="B141" s="10" t="s">
        <v>73</v>
      </c>
      <c r="C141" s="11" t="s">
        <v>135</v>
      </c>
      <c r="D141" s="12">
        <v>480</v>
      </c>
      <c r="E141" s="12">
        <v>310</v>
      </c>
      <c r="F141" s="12">
        <f>N(E141)*(1+설정!$B$3)</f>
        <v>350.29999999999995</v>
      </c>
      <c r="G141" s="12">
        <f t="shared" si="28"/>
        <v>129.70000000000005</v>
      </c>
      <c r="H141" s="13">
        <f t="shared" si="29"/>
        <v>0.27020833333333344</v>
      </c>
      <c r="I141" s="12">
        <v>288</v>
      </c>
      <c r="J141" s="12"/>
      <c r="K141" s="12">
        <f t="shared" si="30"/>
        <v>288</v>
      </c>
      <c r="L141" s="12">
        <v>16</v>
      </c>
      <c r="M141" s="12">
        <v>48</v>
      </c>
      <c r="N141" s="12">
        <v>16</v>
      </c>
      <c r="O141" s="12">
        <f t="shared" si="31"/>
        <v>26.666666666666668</v>
      </c>
      <c r="P141" s="12">
        <f>ROUND(O141*설정!$B$5,0)</f>
        <v>32</v>
      </c>
      <c r="Q141" s="12">
        <f t="shared" si="32"/>
        <v>0</v>
      </c>
      <c r="R141" s="10" t="str">
        <f t="shared" si="33"/>
        <v>OK</v>
      </c>
      <c r="S141" s="12">
        <f t="shared" si="34"/>
        <v>324</v>
      </c>
      <c r="T141" s="12">
        <f>MAX(0,ROUND(N(P141)*설정!$B$4-N(K141),0))</f>
        <v>0</v>
      </c>
      <c r="U141" s="12"/>
      <c r="V141" s="12"/>
      <c r="W141" s="11"/>
    </row>
    <row r="142" spans="1:23" ht="20.100000000000001" customHeight="1" x14ac:dyDescent="0.4">
      <c r="A142" s="9" t="s">
        <v>39</v>
      </c>
      <c r="B142" s="10" t="s">
        <v>73</v>
      </c>
      <c r="C142" s="11" t="s">
        <v>136</v>
      </c>
      <c r="D142" s="12">
        <v>2345</v>
      </c>
      <c r="E142" s="12">
        <v>1800</v>
      </c>
      <c r="F142" s="12">
        <f>N(E142)*(1+설정!$B$3)</f>
        <v>2033.9999999999998</v>
      </c>
      <c r="G142" s="12">
        <f t="shared" si="28"/>
        <v>311.00000000000023</v>
      </c>
      <c r="H142" s="13">
        <f t="shared" si="29"/>
        <v>0.1326226012793178</v>
      </c>
      <c r="I142" s="12">
        <v>143</v>
      </c>
      <c r="J142" s="12"/>
      <c r="K142" s="12">
        <f t="shared" si="30"/>
        <v>143</v>
      </c>
      <c r="L142" s="12"/>
      <c r="M142" s="12"/>
      <c r="N142" s="12"/>
      <c r="O142" s="12">
        <f t="shared" si="31"/>
        <v>0</v>
      </c>
      <c r="P142" s="12">
        <f>ROUND(O142*설정!$B$5,0)</f>
        <v>0</v>
      </c>
      <c r="Q142" s="12">
        <f t="shared" si="32"/>
        <v>0</v>
      </c>
      <c r="R142" s="10" t="str">
        <f t="shared" si="33"/>
        <v>OK</v>
      </c>
      <c r="S142" s="12" t="str">
        <f t="shared" si="34"/>
        <v>-</v>
      </c>
      <c r="T142" s="12">
        <f>MAX(0,ROUND(N(P142)*설정!$B$4-N(K142),0))</f>
        <v>0</v>
      </c>
      <c r="U142" s="12"/>
      <c r="V142" s="12"/>
      <c r="W142" s="11"/>
    </row>
    <row r="143" spans="1:23" ht="20.100000000000001" customHeight="1" x14ac:dyDescent="0.4">
      <c r="A143" s="9" t="s">
        <v>39</v>
      </c>
      <c r="B143" s="10" t="s">
        <v>73</v>
      </c>
      <c r="C143" s="11" t="s">
        <v>143</v>
      </c>
      <c r="D143" s="12">
        <v>1026</v>
      </c>
      <c r="E143" s="12">
        <v>585</v>
      </c>
      <c r="F143" s="12">
        <f>N(E143)*(1+설정!$B$3)</f>
        <v>661.05</v>
      </c>
      <c r="G143" s="12">
        <f t="shared" si="28"/>
        <v>364.95000000000005</v>
      </c>
      <c r="H143" s="13">
        <f t="shared" si="29"/>
        <v>0.35570175438596496</v>
      </c>
      <c r="I143" s="12">
        <v>5440</v>
      </c>
      <c r="J143" s="12"/>
      <c r="K143" s="12">
        <f t="shared" si="30"/>
        <v>5440</v>
      </c>
      <c r="L143" s="12">
        <v>24</v>
      </c>
      <c r="M143" s="12">
        <v>12</v>
      </c>
      <c r="N143" s="12">
        <v>60</v>
      </c>
      <c r="O143" s="12">
        <f t="shared" si="31"/>
        <v>32</v>
      </c>
      <c r="P143" s="12">
        <f>ROUND(O143*설정!$B$5,0)</f>
        <v>38</v>
      </c>
      <c r="Q143" s="12">
        <f t="shared" si="32"/>
        <v>0</v>
      </c>
      <c r="R143" s="10" t="str">
        <f t="shared" si="33"/>
        <v>OK</v>
      </c>
      <c r="S143" s="12">
        <f t="shared" si="34"/>
        <v>5100</v>
      </c>
      <c r="T143" s="12">
        <f>MAX(0,ROUND(N(P143)*설정!$B$4-N(K143),0))</f>
        <v>0</v>
      </c>
      <c r="U143" s="12"/>
      <c r="V143" s="12"/>
      <c r="W143" s="11"/>
    </row>
    <row r="146" spans="3:3" x14ac:dyDescent="0.4">
      <c r="C146" s="1" t="s">
        <v>235</v>
      </c>
    </row>
    <row r="147" spans="3:3" x14ac:dyDescent="0.4">
      <c r="C147" s="1" t="s">
        <v>236</v>
      </c>
    </row>
    <row r="148" spans="3:3" x14ac:dyDescent="0.4">
      <c r="C148" s="1" t="s">
        <v>237</v>
      </c>
    </row>
    <row r="149" spans="3:3" x14ac:dyDescent="0.4">
      <c r="C149" s="1" t="s">
        <v>238</v>
      </c>
    </row>
    <row r="150" spans="3:3" ht="17.399999999999999" x14ac:dyDescent="0.4">
      <c r="C150" t="s">
        <v>239</v>
      </c>
    </row>
    <row r="151" spans="3:3" ht="17.399999999999999" x14ac:dyDescent="0.4">
      <c r="C151" t="s">
        <v>240</v>
      </c>
    </row>
    <row r="152" spans="3:3" ht="17.399999999999999" x14ac:dyDescent="0.4">
      <c r="C152" t="s">
        <v>241</v>
      </c>
    </row>
    <row r="153" spans="3:3" ht="17.399999999999999" x14ac:dyDescent="0.4">
      <c r="C153" t="s">
        <v>242</v>
      </c>
    </row>
    <row r="154" spans="3:3" ht="17.399999999999999" x14ac:dyDescent="0.4">
      <c r="C154" t="s">
        <v>243</v>
      </c>
    </row>
  </sheetData>
  <autoFilter ref="A1:W143">
    <sortState ref="A2:W143">
      <sortCondition descending="1" ref="B1:B143"/>
    </sortState>
  </autoFilter>
  <phoneticPr fontId="7" type="noConversion"/>
  <conditionalFormatting sqref="A2:W143">
    <cfRule type="expression" dxfId="3" priority="29" stopIfTrue="1">
      <formula>$R2="⚠ 부족"</formula>
    </cfRule>
  </conditionalFormatting>
  <dataValidations count="1">
    <dataValidation type="list" allowBlank="1" sqref="A2:A988">
      <formula1>"판매중,일시중단,단종"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0" id="{00000000-000E-0000-0200-000002000000}">
            <xm:f>AND($H2&lt;설정!$B$6,$H2&lt;&gt;"-")</xm:f>
            <x14:dxf>
              <fill>
                <patternFill patternType="solid">
                  <fgColor rgb="FFFCE4D6"/>
                </patternFill>
              </fill>
            </x14:dxf>
          </x14:cfRule>
          <x14:cfRule type="expression" priority="31" id="{00000000-000E-0000-0200-000003000000}">
            <xm:f>AND($S2&lt;설정!$B$7,$S2&lt;&gt;"-")</xm:f>
            <x14:dxf>
              <fill>
                <patternFill patternType="solid">
                  <fgColor rgb="FFFCE4D6"/>
                </patternFill>
              </fill>
            </x14:dxf>
          </x14:cfRule>
          <x14:cfRule type="expression" priority="32" id="{00000000-000E-0000-0200-000004000000}">
            <xm:f>AND($S2&gt;설정!$B$8,$S2&lt;&gt;"-")</xm:f>
            <x14:dxf>
              <fill>
                <patternFill patternType="solid">
                  <fgColor rgb="FFE7E6E6"/>
                </patternFill>
              </fill>
            </x14:dxf>
          </x14:cfRule>
          <xm:sqref>A2:W143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25"/>
  <sheetViews>
    <sheetView showGridLines="0" topLeftCell="A10" workbookViewId="0">
      <selection activeCell="P13" sqref="P13"/>
    </sheetView>
  </sheetViews>
  <sheetFormatPr defaultColWidth="9" defaultRowHeight="17.399999999999999" x14ac:dyDescent="0.4"/>
  <cols>
    <col min="1" max="1" width="11.19921875" style="36" customWidth="1"/>
    <col min="2" max="3" width="14.3984375" style="36" customWidth="1"/>
    <col min="4" max="4" width="14" style="36" customWidth="1"/>
    <col min="5" max="5" width="12.19921875" style="36" customWidth="1"/>
    <col min="6" max="6" width="12.09765625" style="36" customWidth="1"/>
    <col min="7" max="7" width="10" style="36" customWidth="1"/>
    <col min="8" max="8" width="10.3984375" style="36" customWidth="1"/>
    <col min="9" max="9" width="9.3984375" style="36" customWidth="1"/>
    <col min="10" max="10" width="10.8984375" style="36" customWidth="1"/>
    <col min="11" max="14" width="8.69921875" style="36" customWidth="1"/>
    <col min="15" max="16384" width="9" style="36"/>
  </cols>
  <sheetData>
    <row r="1" spans="1:15" ht="30" customHeight="1" x14ac:dyDescent="0.4">
      <c r="A1" s="66" t="s">
        <v>188</v>
      </c>
      <c r="B1" s="67"/>
      <c r="C1" s="67"/>
      <c r="D1" s="67"/>
    </row>
    <row r="2" spans="1:15" ht="30" customHeight="1" x14ac:dyDescent="0.4">
      <c r="A2" s="37" t="s">
        <v>189</v>
      </c>
      <c r="B2" s="38">
        <v>1500000000</v>
      </c>
      <c r="C2" s="39" t="s">
        <v>190</v>
      </c>
      <c r="D2" s="40">
        <f>B2/12</f>
        <v>125000000</v>
      </c>
    </row>
    <row r="3" spans="1:15" ht="30" customHeight="1" x14ac:dyDescent="0.4">
      <c r="A3" s="39" t="s">
        <v>191</v>
      </c>
      <c r="B3" s="41">
        <v>0.02</v>
      </c>
      <c r="C3" s="39" t="s">
        <v>192</v>
      </c>
      <c r="D3" s="40">
        <f>D2*B3</f>
        <v>2500000</v>
      </c>
    </row>
    <row r="4" spans="1:15" ht="30" customHeight="1" x14ac:dyDescent="0.4">
      <c r="A4" s="42" t="s">
        <v>193</v>
      </c>
      <c r="B4" s="38">
        <v>10000</v>
      </c>
      <c r="C4" s="39" t="s">
        <v>194</v>
      </c>
      <c r="D4" s="40">
        <f>D3/30</f>
        <v>83333.333333333328</v>
      </c>
    </row>
    <row r="5" spans="1:15" ht="30" customHeight="1" x14ac:dyDescent="0.4">
      <c r="A5" s="39" t="s">
        <v>195</v>
      </c>
      <c r="B5" s="41">
        <v>7.0000000000000007E-2</v>
      </c>
      <c r="C5" s="43"/>
      <c r="D5" s="43"/>
    </row>
    <row r="6" spans="1:15" ht="30" customHeight="1" x14ac:dyDescent="0.4">
      <c r="A6" s="42" t="s">
        <v>196</v>
      </c>
      <c r="B6" s="38">
        <v>120</v>
      </c>
      <c r="C6" s="44" t="s">
        <v>197</v>
      </c>
      <c r="D6" s="43"/>
    </row>
    <row r="7" spans="1:15" ht="30" customHeight="1" x14ac:dyDescent="0.4">
      <c r="A7" s="42" t="s">
        <v>198</v>
      </c>
      <c r="B7" s="41">
        <v>6</v>
      </c>
      <c r="C7" s="68" t="s">
        <v>199</v>
      </c>
      <c r="D7" s="68"/>
    </row>
    <row r="10" spans="1:15" ht="30" customHeight="1" x14ac:dyDescent="0.4">
      <c r="A10" s="69" t="s">
        <v>200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</row>
    <row r="12" spans="1:15" ht="51" customHeight="1" x14ac:dyDescent="0.4">
      <c r="A12" s="45" t="s">
        <v>201</v>
      </c>
      <c r="B12" s="45" t="s">
        <v>202</v>
      </c>
      <c r="C12" s="46" t="s">
        <v>203</v>
      </c>
      <c r="D12" s="46" t="s">
        <v>204</v>
      </c>
      <c r="E12" s="45" t="s">
        <v>205</v>
      </c>
      <c r="F12" s="46" t="s">
        <v>206</v>
      </c>
      <c r="G12" s="45" t="s">
        <v>207</v>
      </c>
      <c r="H12" s="45" t="s">
        <v>208</v>
      </c>
      <c r="I12" s="45" t="s">
        <v>209</v>
      </c>
      <c r="J12" s="46" t="s">
        <v>210</v>
      </c>
      <c r="K12" s="45" t="s">
        <v>211</v>
      </c>
      <c r="L12" s="45" t="s">
        <v>212</v>
      </c>
      <c r="M12" s="45" t="s">
        <v>213</v>
      </c>
      <c r="N12" s="46" t="s">
        <v>214</v>
      </c>
      <c r="O12" s="46" t="s">
        <v>215</v>
      </c>
    </row>
    <row r="13" spans="1:15" ht="20.100000000000001" customHeight="1" x14ac:dyDescent="0.4">
      <c r="A13" s="47" t="s">
        <v>216</v>
      </c>
      <c r="B13" s="48">
        <v>35908513</v>
      </c>
      <c r="C13" s="49">
        <v>40000000</v>
      </c>
      <c r="D13" s="50">
        <v>97278033</v>
      </c>
      <c r="E13" s="51">
        <v>1500000</v>
      </c>
      <c r="F13" s="50">
        <v>1397548</v>
      </c>
      <c r="G13" s="52">
        <v>7588181</v>
      </c>
      <c r="H13" s="52">
        <v>12402</v>
      </c>
      <c r="I13" s="52">
        <v>990</v>
      </c>
      <c r="J13" s="50">
        <v>13947340</v>
      </c>
      <c r="K13" s="53">
        <f t="shared" ref="K13:K25" si="0">IFERROR(J13/F13,0)</f>
        <v>9.9798647345207456</v>
      </c>
      <c r="L13" s="53">
        <f t="shared" ref="L13:L25" si="1">IFERROR(F13/J13,0)</f>
        <v>0.10020175890169739</v>
      </c>
      <c r="M13" s="51">
        <f t="shared" ref="M13:M25" si="2">IFERROR(F13/H13,0)</f>
        <v>112.68730849862925</v>
      </c>
      <c r="N13" s="53">
        <f t="shared" ref="N13:N25" si="3">IFERROR(I13/H13,0)</f>
        <v>7.982583454281568E-2</v>
      </c>
      <c r="O13" s="54">
        <f>IFERROR(H13/G13,0)</f>
        <v>1.6343837871026006E-3</v>
      </c>
    </row>
    <row r="14" spans="1:15" ht="20.100000000000001" customHeight="1" x14ac:dyDescent="0.4">
      <c r="A14" s="47" t="s">
        <v>217</v>
      </c>
      <c r="B14" s="48">
        <v>36279505</v>
      </c>
      <c r="C14" s="49">
        <v>50000000</v>
      </c>
      <c r="D14" s="50">
        <v>63568333</v>
      </c>
      <c r="E14" s="51">
        <v>1500000</v>
      </c>
      <c r="F14" s="50">
        <v>1400544</v>
      </c>
      <c r="G14" s="52">
        <v>5571104</v>
      </c>
      <c r="H14" s="52">
        <v>10771</v>
      </c>
      <c r="I14" s="52">
        <v>785</v>
      </c>
      <c r="J14" s="50">
        <v>11622740</v>
      </c>
      <c r="K14" s="53">
        <f t="shared" si="0"/>
        <v>8.2987324925171926</v>
      </c>
      <c r="L14" s="53">
        <f t="shared" si="1"/>
        <v>0.12050032952642836</v>
      </c>
      <c r="M14" s="51">
        <f t="shared" si="2"/>
        <v>130.02915235354192</v>
      </c>
      <c r="N14" s="53">
        <f t="shared" si="3"/>
        <v>7.2880883854795284E-2</v>
      </c>
      <c r="O14" s="54">
        <f t="shared" ref="O14:O25" si="4">IFERROR(H14/G14,0)</f>
        <v>1.933369041396463E-3</v>
      </c>
    </row>
    <row r="15" spans="1:15" ht="20.100000000000001" customHeight="1" x14ac:dyDescent="0.4">
      <c r="A15" s="47" t="s">
        <v>218</v>
      </c>
      <c r="B15" s="48">
        <v>81087922</v>
      </c>
      <c r="C15" s="49">
        <v>80000000</v>
      </c>
      <c r="D15" s="50">
        <v>38165274</v>
      </c>
      <c r="E15" s="51">
        <v>2000000</v>
      </c>
      <c r="F15" s="50">
        <v>1123178</v>
      </c>
      <c r="G15" s="52">
        <v>0</v>
      </c>
      <c r="H15" s="52">
        <v>0</v>
      </c>
      <c r="I15" s="52">
        <v>0</v>
      </c>
      <c r="J15" s="50">
        <v>0</v>
      </c>
      <c r="K15" s="53">
        <f t="shared" si="0"/>
        <v>0</v>
      </c>
      <c r="L15" s="53">
        <f t="shared" si="1"/>
        <v>0</v>
      </c>
      <c r="M15" s="51">
        <f t="shared" si="2"/>
        <v>0</v>
      </c>
      <c r="N15" s="53">
        <f t="shared" si="3"/>
        <v>0</v>
      </c>
      <c r="O15" s="53">
        <f t="shared" si="4"/>
        <v>0</v>
      </c>
    </row>
    <row r="16" spans="1:15" ht="20.100000000000001" customHeight="1" x14ac:dyDescent="0.4">
      <c r="A16" s="47" t="s">
        <v>219</v>
      </c>
      <c r="B16" s="48">
        <v>97897947</v>
      </c>
      <c r="C16" s="49">
        <v>100000000</v>
      </c>
      <c r="D16" s="50">
        <v>0</v>
      </c>
      <c r="E16" s="51">
        <v>2000000</v>
      </c>
      <c r="F16" s="50">
        <v>0</v>
      </c>
      <c r="G16" s="52">
        <v>0</v>
      </c>
      <c r="H16" s="52">
        <v>0</v>
      </c>
      <c r="I16" s="52">
        <v>0</v>
      </c>
      <c r="J16" s="50">
        <v>0</v>
      </c>
      <c r="K16" s="53">
        <f t="shared" si="0"/>
        <v>0</v>
      </c>
      <c r="L16" s="53">
        <f t="shared" si="1"/>
        <v>0</v>
      </c>
      <c r="M16" s="51">
        <f t="shared" si="2"/>
        <v>0</v>
      </c>
      <c r="N16" s="53">
        <f t="shared" si="3"/>
        <v>0</v>
      </c>
      <c r="O16" s="53">
        <f t="shared" si="4"/>
        <v>0</v>
      </c>
    </row>
    <row r="17" spans="1:20" ht="20.100000000000001" customHeight="1" x14ac:dyDescent="0.4">
      <c r="A17" s="47" t="s">
        <v>220</v>
      </c>
      <c r="B17" s="48">
        <v>113966483</v>
      </c>
      <c r="C17" s="49">
        <v>140000000</v>
      </c>
      <c r="D17" s="50">
        <v>0</v>
      </c>
      <c r="E17" s="51">
        <v>2500000</v>
      </c>
      <c r="F17" s="50">
        <v>0</v>
      </c>
      <c r="G17" s="52">
        <v>0</v>
      </c>
      <c r="H17" s="52">
        <v>0</v>
      </c>
      <c r="I17" s="52">
        <v>0</v>
      </c>
      <c r="J17" s="50">
        <v>0</v>
      </c>
      <c r="K17" s="53">
        <f t="shared" si="0"/>
        <v>0</v>
      </c>
      <c r="L17" s="53">
        <f t="shared" si="1"/>
        <v>0</v>
      </c>
      <c r="M17" s="51">
        <f t="shared" si="2"/>
        <v>0</v>
      </c>
      <c r="N17" s="53">
        <f t="shared" si="3"/>
        <v>0</v>
      </c>
      <c r="O17" s="53">
        <f t="shared" si="4"/>
        <v>0</v>
      </c>
    </row>
    <row r="18" spans="1:20" ht="20.100000000000001" customHeight="1" x14ac:dyDescent="0.4">
      <c r="A18" s="47" t="s">
        <v>221</v>
      </c>
      <c r="B18" s="48">
        <v>92876437</v>
      </c>
      <c r="C18" s="49">
        <v>150000000</v>
      </c>
      <c r="D18" s="50">
        <v>0</v>
      </c>
      <c r="E18" s="51">
        <v>2000000</v>
      </c>
      <c r="F18" s="50">
        <v>0</v>
      </c>
      <c r="G18" s="52">
        <v>0</v>
      </c>
      <c r="H18" s="52">
        <v>0</v>
      </c>
      <c r="I18" s="52">
        <v>0</v>
      </c>
      <c r="J18" s="50">
        <v>0</v>
      </c>
      <c r="K18" s="53">
        <f t="shared" si="0"/>
        <v>0</v>
      </c>
      <c r="L18" s="53">
        <f t="shared" si="1"/>
        <v>0</v>
      </c>
      <c r="M18" s="51">
        <f t="shared" si="2"/>
        <v>0</v>
      </c>
      <c r="N18" s="53">
        <f t="shared" si="3"/>
        <v>0</v>
      </c>
      <c r="O18" s="53">
        <f t="shared" si="4"/>
        <v>0</v>
      </c>
    </row>
    <row r="19" spans="1:20" ht="20.100000000000001" customHeight="1" x14ac:dyDescent="0.4">
      <c r="A19" s="47" t="s">
        <v>222</v>
      </c>
      <c r="B19" s="48">
        <v>141712487</v>
      </c>
      <c r="C19" s="49">
        <v>170000000</v>
      </c>
      <c r="D19" s="50">
        <v>0</v>
      </c>
      <c r="E19" s="51">
        <v>2500000</v>
      </c>
      <c r="F19" s="50">
        <v>0</v>
      </c>
      <c r="G19" s="52">
        <v>0</v>
      </c>
      <c r="H19" s="52">
        <v>0</v>
      </c>
      <c r="I19" s="52">
        <v>0</v>
      </c>
      <c r="J19" s="50">
        <v>0</v>
      </c>
      <c r="K19" s="53">
        <f t="shared" si="0"/>
        <v>0</v>
      </c>
      <c r="L19" s="53">
        <f t="shared" si="1"/>
        <v>0</v>
      </c>
      <c r="M19" s="51">
        <f t="shared" si="2"/>
        <v>0</v>
      </c>
      <c r="N19" s="53">
        <f t="shared" si="3"/>
        <v>0</v>
      </c>
      <c r="O19" s="53">
        <f t="shared" si="4"/>
        <v>0</v>
      </c>
    </row>
    <row r="20" spans="1:20" ht="20.100000000000001" customHeight="1" x14ac:dyDescent="0.4">
      <c r="A20" s="47" t="s">
        <v>223</v>
      </c>
      <c r="B20" s="48">
        <v>56194903</v>
      </c>
      <c r="C20" s="49">
        <v>150000000</v>
      </c>
      <c r="D20" s="50">
        <v>0</v>
      </c>
      <c r="E20" s="51">
        <v>2000000</v>
      </c>
      <c r="F20" s="50">
        <v>0</v>
      </c>
      <c r="G20" s="52">
        <v>0</v>
      </c>
      <c r="H20" s="52">
        <v>0</v>
      </c>
      <c r="I20" s="52">
        <v>0</v>
      </c>
      <c r="J20" s="50">
        <v>0</v>
      </c>
      <c r="K20" s="53">
        <f t="shared" si="0"/>
        <v>0</v>
      </c>
      <c r="L20" s="53">
        <f t="shared" si="1"/>
        <v>0</v>
      </c>
      <c r="M20" s="51">
        <f t="shared" si="2"/>
        <v>0</v>
      </c>
      <c r="N20" s="53">
        <f t="shared" si="3"/>
        <v>0</v>
      </c>
      <c r="O20" s="53">
        <f t="shared" si="4"/>
        <v>0</v>
      </c>
    </row>
    <row r="21" spans="1:20" ht="20.100000000000001" customHeight="1" x14ac:dyDescent="0.4">
      <c r="A21" s="47" t="s">
        <v>224</v>
      </c>
      <c r="B21" s="48">
        <v>91298500</v>
      </c>
      <c r="C21" s="49">
        <v>160000000</v>
      </c>
      <c r="D21" s="50">
        <v>0</v>
      </c>
      <c r="E21" s="51">
        <v>2500000</v>
      </c>
      <c r="F21" s="50">
        <v>0</v>
      </c>
      <c r="G21" s="52">
        <v>0</v>
      </c>
      <c r="H21" s="52">
        <v>0</v>
      </c>
      <c r="I21" s="52">
        <v>0</v>
      </c>
      <c r="J21" s="50">
        <v>0</v>
      </c>
      <c r="K21" s="53">
        <f t="shared" si="0"/>
        <v>0</v>
      </c>
      <c r="L21" s="53">
        <f t="shared" si="1"/>
        <v>0</v>
      </c>
      <c r="M21" s="51">
        <f t="shared" si="2"/>
        <v>0</v>
      </c>
      <c r="N21" s="53">
        <f t="shared" si="3"/>
        <v>0</v>
      </c>
      <c r="O21" s="53">
        <f t="shared" si="4"/>
        <v>0</v>
      </c>
      <c r="T21" s="36" t="s">
        <v>225</v>
      </c>
    </row>
    <row r="22" spans="1:20" ht="20.100000000000001" customHeight="1" x14ac:dyDescent="0.4">
      <c r="A22" s="47" t="s">
        <v>226</v>
      </c>
      <c r="B22" s="48">
        <v>89560705</v>
      </c>
      <c r="C22" s="49">
        <v>160000000</v>
      </c>
      <c r="D22" s="50">
        <v>0</v>
      </c>
      <c r="E22" s="51">
        <v>2500000</v>
      </c>
      <c r="F22" s="50">
        <v>0</v>
      </c>
      <c r="G22" s="52">
        <v>0</v>
      </c>
      <c r="H22" s="52">
        <v>0</v>
      </c>
      <c r="I22" s="52">
        <v>0</v>
      </c>
      <c r="J22" s="50">
        <v>0</v>
      </c>
      <c r="K22" s="53">
        <f t="shared" si="0"/>
        <v>0</v>
      </c>
      <c r="L22" s="53">
        <f t="shared" si="1"/>
        <v>0</v>
      </c>
      <c r="M22" s="51">
        <f t="shared" si="2"/>
        <v>0</v>
      </c>
      <c r="N22" s="53">
        <f t="shared" si="3"/>
        <v>0</v>
      </c>
      <c r="O22" s="53">
        <f t="shared" si="4"/>
        <v>0</v>
      </c>
    </row>
    <row r="23" spans="1:20" ht="20.100000000000001" customHeight="1" x14ac:dyDescent="0.4">
      <c r="A23" s="47" t="s">
        <v>227</v>
      </c>
      <c r="B23" s="48">
        <v>87410343</v>
      </c>
      <c r="C23" s="49">
        <v>150000000</v>
      </c>
      <c r="D23" s="50">
        <v>0</v>
      </c>
      <c r="E23" s="51">
        <v>2000000</v>
      </c>
      <c r="F23" s="50">
        <v>0</v>
      </c>
      <c r="G23" s="52">
        <v>0</v>
      </c>
      <c r="H23" s="52">
        <v>0</v>
      </c>
      <c r="I23" s="52">
        <v>0</v>
      </c>
      <c r="J23" s="50">
        <v>0</v>
      </c>
      <c r="K23" s="53">
        <f t="shared" si="0"/>
        <v>0</v>
      </c>
      <c r="L23" s="53">
        <f t="shared" si="1"/>
        <v>0</v>
      </c>
      <c r="M23" s="51">
        <f t="shared" si="2"/>
        <v>0</v>
      </c>
      <c r="N23" s="53">
        <f t="shared" si="3"/>
        <v>0</v>
      </c>
      <c r="O23" s="53">
        <f t="shared" si="4"/>
        <v>0</v>
      </c>
    </row>
    <row r="24" spans="1:20" ht="20.100000000000001" customHeight="1" x14ac:dyDescent="0.4">
      <c r="A24" s="47" t="s">
        <v>228</v>
      </c>
      <c r="B24" s="48">
        <v>50951052</v>
      </c>
      <c r="C24" s="49">
        <v>150000000</v>
      </c>
      <c r="D24" s="50">
        <v>0</v>
      </c>
      <c r="E24" s="51">
        <v>2000000</v>
      </c>
      <c r="F24" s="50">
        <v>0</v>
      </c>
      <c r="G24" s="52">
        <v>0</v>
      </c>
      <c r="H24" s="52">
        <v>0</v>
      </c>
      <c r="I24" s="52">
        <v>0</v>
      </c>
      <c r="J24" s="50">
        <v>0</v>
      </c>
      <c r="K24" s="53">
        <f t="shared" si="0"/>
        <v>0</v>
      </c>
      <c r="L24" s="53">
        <f t="shared" si="1"/>
        <v>0</v>
      </c>
      <c r="M24" s="51">
        <f t="shared" si="2"/>
        <v>0</v>
      </c>
      <c r="N24" s="53">
        <f t="shared" si="3"/>
        <v>0</v>
      </c>
      <c r="O24" s="53">
        <f t="shared" si="4"/>
        <v>0</v>
      </c>
    </row>
    <row r="25" spans="1:20" ht="20.100000000000001" customHeight="1" x14ac:dyDescent="0.4">
      <c r="A25" s="45" t="s">
        <v>229</v>
      </c>
      <c r="B25" s="55">
        <f t="shared" ref="B25:J25" si="5">SUM(B13:B24)</f>
        <v>975144797</v>
      </c>
      <c r="C25" s="55">
        <f t="shared" si="5"/>
        <v>1500000000</v>
      </c>
      <c r="D25" s="55">
        <f t="shared" si="5"/>
        <v>199011640</v>
      </c>
      <c r="E25" s="55">
        <f t="shared" si="5"/>
        <v>25000000</v>
      </c>
      <c r="F25" s="55">
        <f t="shared" si="5"/>
        <v>3921270</v>
      </c>
      <c r="G25" s="56">
        <f t="shared" si="5"/>
        <v>13159285</v>
      </c>
      <c r="H25" s="56">
        <f t="shared" si="5"/>
        <v>23173</v>
      </c>
      <c r="I25" s="56">
        <f t="shared" si="5"/>
        <v>1775</v>
      </c>
      <c r="J25" s="55">
        <f t="shared" si="5"/>
        <v>25570080</v>
      </c>
      <c r="K25" s="57">
        <f t="shared" si="0"/>
        <v>6.5208669640193104</v>
      </c>
      <c r="L25" s="57">
        <f t="shared" si="1"/>
        <v>0.15335384167746052</v>
      </c>
      <c r="M25" s="55">
        <f t="shared" si="2"/>
        <v>169.2171924222155</v>
      </c>
      <c r="N25" s="57">
        <f t="shared" si="3"/>
        <v>7.6597764639882618E-2</v>
      </c>
      <c r="O25" s="57">
        <f t="shared" si="4"/>
        <v>1.7609619367617618E-3</v>
      </c>
    </row>
  </sheetData>
  <mergeCells count="3">
    <mergeCell ref="A1:D1"/>
    <mergeCell ref="C7:D7"/>
    <mergeCell ref="A10:O10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pane ySplit="2" topLeftCell="A3" activePane="bottomLeft" state="frozen"/>
      <selection pane="bottomLeft" activeCell="C19" sqref="C19"/>
    </sheetView>
  </sheetViews>
  <sheetFormatPr defaultRowHeight="17.399999999999999" x14ac:dyDescent="0.4"/>
  <cols>
    <col min="1" max="1" width="32" customWidth="1"/>
    <col min="2" max="4" width="18" customWidth="1"/>
  </cols>
  <sheetData>
    <row r="1" spans="1:4" ht="21" x14ac:dyDescent="0.45">
      <c r="A1" s="70" t="s">
        <v>10</v>
      </c>
      <c r="B1" s="62"/>
      <c r="C1" s="62"/>
      <c r="D1" s="62"/>
    </row>
    <row r="3" spans="1:4" x14ac:dyDescent="0.4">
      <c r="A3" s="2" t="s">
        <v>11</v>
      </c>
      <c r="B3" s="3">
        <v>0.13</v>
      </c>
    </row>
    <row r="4" spans="1:4" x14ac:dyDescent="0.4">
      <c r="A4" s="2" t="s">
        <v>12</v>
      </c>
      <c r="B4" s="4">
        <v>2</v>
      </c>
    </row>
    <row r="5" spans="1:4" x14ac:dyDescent="0.4">
      <c r="A5" s="2" t="s">
        <v>13</v>
      </c>
      <c r="B5" s="3">
        <v>1.2</v>
      </c>
    </row>
    <row r="6" spans="1:4" x14ac:dyDescent="0.4">
      <c r="A6" s="2" t="s">
        <v>14</v>
      </c>
      <c r="B6" s="3">
        <v>0.2</v>
      </c>
    </row>
    <row r="7" spans="1:4" x14ac:dyDescent="0.4">
      <c r="A7" s="2" t="s">
        <v>15</v>
      </c>
      <c r="B7" s="5">
        <v>14</v>
      </c>
    </row>
    <row r="8" spans="1:4" x14ac:dyDescent="0.4">
      <c r="A8" s="2" t="s">
        <v>16</v>
      </c>
      <c r="B8" s="5">
        <v>90</v>
      </c>
    </row>
    <row r="9" spans="1:4" x14ac:dyDescent="0.4">
      <c r="A9" s="2" t="s">
        <v>17</v>
      </c>
      <c r="B9" s="6" t="s">
        <v>18</v>
      </c>
    </row>
    <row r="10" spans="1:4" x14ac:dyDescent="0.4">
      <c r="A10" s="2" t="s">
        <v>19</v>
      </c>
      <c r="B10" s="6" t="s">
        <v>20</v>
      </c>
    </row>
  </sheetData>
  <mergeCells count="1">
    <mergeCell ref="A1:D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Dashboard</vt:lpstr>
      <vt:lpstr>상품리스트</vt:lpstr>
      <vt:lpstr>광고관리</vt:lpstr>
      <vt:lpstr>설정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</cp:lastModifiedBy>
  <dcterms:created xsi:type="dcterms:W3CDTF">2026-03-12T06:46:31Z</dcterms:created>
  <dcterms:modified xsi:type="dcterms:W3CDTF">2026-03-22T08:42:01Z</dcterms:modified>
</cp:coreProperties>
</file>